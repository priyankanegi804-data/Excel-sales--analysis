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c9dfde5dcd563ec9/Desktop/"/>
    </mc:Choice>
  </mc:AlternateContent>
  <xr:revisionPtr revIDLastSave="0" documentId="8_{A0ED544F-FA5B-4570-9130-9E85608E64D7}" xr6:coauthVersionLast="47" xr6:coauthVersionMax="47" xr10:uidLastSave="{00000000-0000-0000-0000-000000000000}"/>
  <bookViews>
    <workbookView xWindow="-120" yWindow="-120" windowWidth="20730" windowHeight="11760" firstSheet="1" activeTab="4" xr2:uid="{8D559DF3-BE74-4EF8-9895-87CAF84BCBCB}"/>
  </bookViews>
  <sheets>
    <sheet name="product wise sales" sheetId="7" r:id="rId1"/>
    <sheet name="regionwise sales" sheetId="5" r:id="rId2"/>
    <sheet name="category-wise profit" sheetId="6" r:id="rId3"/>
    <sheet name="database" sheetId="1" r:id="rId4"/>
    <sheet name="DASHBOARD" sheetId="9" r:id="rId5"/>
  </sheets>
  <definedNames>
    <definedName name="Slicer_Product_Category">#N/A</definedName>
    <definedName name="Slicer_Product_Name">#N/A</definedName>
    <definedName name="Slicer_Region">#N/A</definedName>
  </definedNames>
  <calcPr calcId="181029"/>
  <pivotCaches>
    <pivotCache cacheId="1"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9" l="1"/>
  <c r="N37" i="9"/>
  <c r="K38" i="9"/>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3" i="1"/>
  <c r="L4" i="1"/>
  <c r="L5" i="1"/>
  <c r="L6" i="1"/>
  <c r="L7" i="1"/>
  <c r="L8" i="1"/>
  <c r="L9" i="1"/>
  <c r="L10" i="1"/>
  <c r="L11" i="1"/>
  <c r="L12" i="1"/>
  <c r="L13" i="1"/>
  <c r="L14" i="1"/>
  <c r="L15" i="1"/>
  <c r="L16" i="1"/>
  <c r="L2" i="1"/>
  <c r="L5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alcChain>
</file>

<file path=xl/sharedStrings.xml><?xml version="1.0" encoding="utf-8"?>
<sst xmlns="http://schemas.openxmlformats.org/spreadsheetml/2006/main" count="358" uniqueCount="125">
  <si>
    <t>Order_ID</t>
  </si>
  <si>
    <t>Order_Date</t>
  </si>
  <si>
    <t>Region</t>
  </si>
  <si>
    <t>State</t>
  </si>
  <si>
    <t>City</t>
  </si>
  <si>
    <t>Product_Category</t>
  </si>
  <si>
    <t>Product_Name</t>
  </si>
  <si>
    <t>Sales</t>
  </si>
  <si>
    <t>Quantity</t>
  </si>
  <si>
    <t>Profit</t>
  </si>
  <si>
    <t>Customer_Type</t>
  </si>
  <si>
    <t>North</t>
  </si>
  <si>
    <t>Delhi</t>
  </si>
  <si>
    <t>Electronics</t>
  </si>
  <si>
    <t>Mobile Phone</t>
  </si>
  <si>
    <t>Retail</t>
  </si>
  <si>
    <t>South</t>
  </si>
  <si>
    <t>Karnataka</t>
  </si>
  <si>
    <t>Bangalore</t>
  </si>
  <si>
    <t>Furniture</t>
  </si>
  <si>
    <t>Office Chair</t>
  </si>
  <si>
    <t>Corporate</t>
  </si>
  <si>
    <t>West</t>
  </si>
  <si>
    <t>Maharashtra</t>
  </si>
  <si>
    <t>Mumbai</t>
  </si>
  <si>
    <t>Laptop</t>
  </si>
  <si>
    <t>East</t>
  </si>
  <si>
    <t>West Bengal</t>
  </si>
  <si>
    <t>Kolkata</t>
  </si>
  <si>
    <t>Stationery</t>
  </si>
  <si>
    <t>Notebook</t>
  </si>
  <si>
    <t>Uttar Pradesh</t>
  </si>
  <si>
    <t>Lucknow</t>
  </si>
  <si>
    <t>Study Table</t>
  </si>
  <si>
    <t>Tamil Nadu</t>
  </si>
  <si>
    <t>Chennai</t>
  </si>
  <si>
    <t>Headphones</t>
  </si>
  <si>
    <t>Gujarat</t>
  </si>
  <si>
    <t>Ahmedabad</t>
  </si>
  <si>
    <t>Smartwatch</t>
  </si>
  <si>
    <t>Bihar</t>
  </si>
  <si>
    <t>Patna</t>
  </si>
  <si>
    <t>Bookshelf</t>
  </si>
  <si>
    <t>Punjab</t>
  </si>
  <si>
    <t>Chandigarh</t>
  </si>
  <si>
    <t>Tablet</t>
  </si>
  <si>
    <t>Kerala</t>
  </si>
  <si>
    <t>Kochi</t>
  </si>
  <si>
    <t>Pen Set</t>
  </si>
  <si>
    <t>Rajasthan</t>
  </si>
  <si>
    <t>Jaipur</t>
  </si>
  <si>
    <t>Sofa</t>
  </si>
  <si>
    <t>Odisha</t>
  </si>
  <si>
    <t>Bhubaneswar</t>
  </si>
  <si>
    <t>Camera</t>
  </si>
  <si>
    <t>Haryana</t>
  </si>
  <si>
    <t>Gurgaon</t>
  </si>
  <si>
    <t>Telangana</t>
  </si>
  <si>
    <t>Hyderabad</t>
  </si>
  <si>
    <t>Desk</t>
  </si>
  <si>
    <t>Madhya Pradesh</t>
  </si>
  <si>
    <t>Indore</t>
  </si>
  <si>
    <t>Files</t>
  </si>
  <si>
    <t>Assam</t>
  </si>
  <si>
    <t>Guwahati</t>
  </si>
  <si>
    <t>Printer</t>
  </si>
  <si>
    <t>Power Bank</t>
  </si>
  <si>
    <t>Mysore</t>
  </si>
  <si>
    <t>Cupboard</t>
  </si>
  <si>
    <t>Pune</t>
  </si>
  <si>
    <t>Monitor</t>
  </si>
  <si>
    <t>Howrah</t>
  </si>
  <si>
    <t>Markers</t>
  </si>
  <si>
    <t>Uttarakhand</t>
  </si>
  <si>
    <t>Dehradun</t>
  </si>
  <si>
    <t>Office Table</t>
  </si>
  <si>
    <t>Coimbatore</t>
  </si>
  <si>
    <t>Keyboard</t>
  </si>
  <si>
    <t>Surat</t>
  </si>
  <si>
    <t>Mouse</t>
  </si>
  <si>
    <t>Jharkhand</t>
  </si>
  <si>
    <t>Ranchi</t>
  </si>
  <si>
    <t>Chair</t>
  </si>
  <si>
    <t>Kanpur</t>
  </si>
  <si>
    <t>Trivandrum</t>
  </si>
  <si>
    <t>Goa</t>
  </si>
  <si>
    <t>Panjim</t>
  </si>
  <si>
    <t>Gaya</t>
  </si>
  <si>
    <t>Stool</t>
  </si>
  <si>
    <t>Udaipur</t>
  </si>
  <si>
    <t>Almirah</t>
  </si>
  <si>
    <t>Andhra Pradesh</t>
  </si>
  <si>
    <t>Vijayawada</t>
  </si>
  <si>
    <t>Chhattisgarh</t>
  </si>
  <si>
    <t>Raipur</t>
  </si>
  <si>
    <t>Cuttack</t>
  </si>
  <si>
    <t>Pen</t>
  </si>
  <si>
    <t>Nagpur</t>
  </si>
  <si>
    <t>Siliguri</t>
  </si>
  <si>
    <t>Table</t>
  </si>
  <si>
    <t>Ludhiana</t>
  </si>
  <si>
    <t>Madurai</t>
  </si>
  <si>
    <t>Vadodara</t>
  </si>
  <si>
    <t>Tezpur</t>
  </si>
  <si>
    <t>Himachal Pradesh</t>
  </si>
  <si>
    <t>Shimla</t>
  </si>
  <si>
    <t>Thrissur</t>
  </si>
  <si>
    <t>Jodhpur</t>
  </si>
  <si>
    <t>Bokaro</t>
  </si>
  <si>
    <t>Panipat</t>
  </si>
  <si>
    <t>Office Desk</t>
  </si>
  <si>
    <t>Guntur</t>
  </si>
  <si>
    <t>Bhopal</t>
  </si>
  <si>
    <t>Bhagalpur</t>
  </si>
  <si>
    <t>Noida</t>
  </si>
  <si>
    <t>Udupi</t>
  </si>
  <si>
    <t>month</t>
  </si>
  <si>
    <t>profit %</t>
  </si>
  <si>
    <t>Row Labels</t>
  </si>
  <si>
    <t>Grand Total</t>
  </si>
  <si>
    <t>Count of Sales</t>
  </si>
  <si>
    <t>Count of Profit</t>
  </si>
  <si>
    <t>product category</t>
  </si>
  <si>
    <t>region</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</si>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</sst>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24"/>
      <color theme="1"/>
      <name val="Bookman Old Style"/>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2" fillId="2" borderId="0" xfId="0" applyFont="1" applyFill="1" applyAlignment="1">
      <alignment horizontal="center" vertical="center"/>
    </xf>
  </cellXfs>
  <cellStyles count="1">
    <cellStyle name="Normal" xfId="0" builtinId="0"/>
  </cellStyles>
  <dxfs count="4">
    <dxf>
      <numFmt numFmtId="0" formatCode="General"/>
    </dxf>
    <dxf>
      <numFmt numFmtId="19" formatCode="dd/mm/yyyy"/>
    </dxf>
    <dxf>
      <numFmt numFmtId="19" formatCode="dd/mm/yyyy"/>
    </dxf>
    <dxf>
      <font>
        <color rgb="FF54D60C"/>
      </font>
    </dxf>
  </dxfs>
  <tableStyles count="2" defaultTableStyle="TableStyleMedium2" defaultPivotStyle="PivotStyleLight16">
    <tableStyle name="Slicer Style 1" pivot="0" table="0" count="1" xr9:uid="{E5757F26-5C34-44F0-AFE4-7DBA2970FDBD}">
      <tableStyleElement type="wholeTable" dxfId="3"/>
    </tableStyle>
    <tableStyle name="Slicer Style 2" pivot="0" table="0" count="0" xr9:uid="{173B03A7-433E-4EB7-94D9-19C41EED6B30}"/>
  </tableStyles>
  <colors>
    <mruColors>
      <color rgb="FF40A309"/>
      <color rgb="FF005E00"/>
      <color rgb="FF54D60C"/>
      <color rgb="FF76F159"/>
      <color rgb="FF0000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DASHBOARD.xlsx]product wise sales!product-wise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Cambria" panose="02040503050406030204" pitchFamily="18" charset="0"/>
                <a:ea typeface="Cambria" panose="02040503050406030204" pitchFamily="18" charset="0"/>
              </a:rPr>
              <a:t>Sales</a:t>
            </a:r>
            <a:r>
              <a:rPr lang="en-US" sz="2000" b="1" baseline="0">
                <a:solidFill>
                  <a:schemeClr val="tx1"/>
                </a:solidFill>
                <a:latin typeface="Cambria" panose="02040503050406030204" pitchFamily="18" charset="0"/>
                <a:ea typeface="Cambria" panose="02040503050406030204" pitchFamily="18" charset="0"/>
              </a:rPr>
              <a:t> Trend</a:t>
            </a:r>
            <a:endParaRPr lang="en-US" sz="2000" b="1">
              <a:solidFill>
                <a:schemeClr val="tx1"/>
              </a:solidFill>
              <a:latin typeface="Cambria" panose="02040503050406030204" pitchFamily="18" charset="0"/>
              <a:ea typeface="Cambria" panose="02040503050406030204" pitchFamily="18" charset="0"/>
            </a:endParaRPr>
          </a:p>
        </c:rich>
      </c:tx>
      <c:layout>
        <c:manualLayout>
          <c:xMode val="edge"/>
          <c:yMode val="edge"/>
          <c:x val="0.32301941763264175"/>
          <c:y val="3.122560499609679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4D6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03541357421725E-2"/>
          <c:y val="0.11581576893052305"/>
          <c:w val="0.93682928103080565"/>
          <c:h val="0.70885418011273182"/>
        </c:manualLayout>
      </c:layout>
      <c:lineChart>
        <c:grouping val="stacked"/>
        <c:varyColors val="0"/>
        <c:ser>
          <c:idx val="0"/>
          <c:order val="0"/>
          <c:tx>
            <c:strRef>
              <c:f>'product wise sales'!$B$3</c:f>
              <c:strCache>
                <c:ptCount val="1"/>
                <c:pt idx="0">
                  <c:v>Total</c:v>
                </c:pt>
              </c:strCache>
            </c:strRef>
          </c:tx>
          <c:spPr>
            <a:ln w="28575" cap="rnd">
              <a:solidFill>
                <a:srgbClr val="54D60C"/>
              </a:solidFill>
              <a:round/>
            </a:ln>
            <a:effectLst/>
          </c:spPr>
          <c:marker>
            <c:symbol val="none"/>
          </c:marker>
          <c:cat>
            <c:strRef>
              <c:f>'product wise sales'!$A$4:$A$32</c:f>
              <c:strCache>
                <c:ptCount val="28"/>
                <c:pt idx="0">
                  <c:v>Almirah</c:v>
                </c:pt>
                <c:pt idx="1">
                  <c:v>Bookshelf</c:v>
                </c:pt>
                <c:pt idx="2">
                  <c:v>Camera</c:v>
                </c:pt>
                <c:pt idx="3">
                  <c:v>Chair</c:v>
                </c:pt>
                <c:pt idx="4">
                  <c:v>Cupboard</c:v>
                </c:pt>
                <c:pt idx="5">
                  <c:v>Desk</c:v>
                </c:pt>
                <c:pt idx="6">
                  <c:v>Files</c:v>
                </c:pt>
                <c:pt idx="7">
                  <c:v>Headphones</c:v>
                </c:pt>
                <c:pt idx="8">
                  <c:v>Keyboard</c:v>
                </c:pt>
                <c:pt idx="9">
                  <c:v>Laptop</c:v>
                </c:pt>
                <c:pt idx="10">
                  <c:v>Markers</c:v>
                </c:pt>
                <c:pt idx="11">
                  <c:v>Mobile Phone</c:v>
                </c:pt>
                <c:pt idx="12">
                  <c:v>Monitor</c:v>
                </c:pt>
                <c:pt idx="13">
                  <c:v>Mouse</c:v>
                </c:pt>
                <c:pt idx="14">
                  <c:v>Notebook</c:v>
                </c:pt>
                <c:pt idx="15">
                  <c:v>Office Chair</c:v>
                </c:pt>
                <c:pt idx="16">
                  <c:v>Office Desk</c:v>
                </c:pt>
                <c:pt idx="17">
                  <c:v>Office Table</c:v>
                </c:pt>
                <c:pt idx="18">
                  <c:v>Pen</c:v>
                </c:pt>
                <c:pt idx="19">
                  <c:v>Pen Set</c:v>
                </c:pt>
                <c:pt idx="20">
                  <c:v>Power Bank</c:v>
                </c:pt>
                <c:pt idx="21">
                  <c:v>Printer</c:v>
                </c:pt>
                <c:pt idx="22">
                  <c:v>Smartwatch</c:v>
                </c:pt>
                <c:pt idx="23">
                  <c:v>Sofa</c:v>
                </c:pt>
                <c:pt idx="24">
                  <c:v>Stool</c:v>
                </c:pt>
                <c:pt idx="25">
                  <c:v>Study Table</c:v>
                </c:pt>
                <c:pt idx="26">
                  <c:v>Table</c:v>
                </c:pt>
                <c:pt idx="27">
                  <c:v>Tablet</c:v>
                </c:pt>
              </c:strCache>
            </c:strRef>
          </c:cat>
          <c:val>
            <c:numRef>
              <c:f>'product wise sales'!$B$4:$B$32</c:f>
              <c:numCache>
                <c:formatCode>General</c:formatCode>
                <c:ptCount val="28"/>
                <c:pt idx="0">
                  <c:v>1</c:v>
                </c:pt>
                <c:pt idx="1">
                  <c:v>2</c:v>
                </c:pt>
                <c:pt idx="2">
                  <c:v>3</c:v>
                </c:pt>
                <c:pt idx="3">
                  <c:v>3</c:v>
                </c:pt>
                <c:pt idx="4">
                  <c:v>2</c:v>
                </c:pt>
                <c:pt idx="5">
                  <c:v>1</c:v>
                </c:pt>
                <c:pt idx="6">
                  <c:v>2</c:v>
                </c:pt>
                <c:pt idx="7">
                  <c:v>1</c:v>
                </c:pt>
                <c:pt idx="8">
                  <c:v>2</c:v>
                </c:pt>
                <c:pt idx="9">
                  <c:v>3</c:v>
                </c:pt>
                <c:pt idx="10">
                  <c:v>1</c:v>
                </c:pt>
                <c:pt idx="11">
                  <c:v>2</c:v>
                </c:pt>
                <c:pt idx="12">
                  <c:v>2</c:v>
                </c:pt>
                <c:pt idx="13">
                  <c:v>2</c:v>
                </c:pt>
                <c:pt idx="14">
                  <c:v>3</c:v>
                </c:pt>
                <c:pt idx="15">
                  <c:v>1</c:v>
                </c:pt>
                <c:pt idx="16">
                  <c:v>1</c:v>
                </c:pt>
                <c:pt idx="17">
                  <c:v>1</c:v>
                </c:pt>
                <c:pt idx="18">
                  <c:v>1</c:v>
                </c:pt>
                <c:pt idx="19">
                  <c:v>2</c:v>
                </c:pt>
                <c:pt idx="20">
                  <c:v>1</c:v>
                </c:pt>
                <c:pt idx="21">
                  <c:v>2</c:v>
                </c:pt>
                <c:pt idx="22">
                  <c:v>3</c:v>
                </c:pt>
                <c:pt idx="23">
                  <c:v>1</c:v>
                </c:pt>
                <c:pt idx="24">
                  <c:v>1</c:v>
                </c:pt>
                <c:pt idx="25">
                  <c:v>1</c:v>
                </c:pt>
                <c:pt idx="26">
                  <c:v>1</c:v>
                </c:pt>
                <c:pt idx="27">
                  <c:v>4</c:v>
                </c:pt>
              </c:numCache>
            </c:numRef>
          </c:val>
          <c:smooth val="0"/>
          <c:extLst>
            <c:ext xmlns:c16="http://schemas.microsoft.com/office/drawing/2014/chart" uri="{C3380CC4-5D6E-409C-BE32-E72D297353CC}">
              <c16:uniqueId val="{00000000-E175-47B7-80B3-C977DADB6B1B}"/>
            </c:ext>
          </c:extLst>
        </c:ser>
        <c:dLbls>
          <c:showLegendKey val="0"/>
          <c:showVal val="0"/>
          <c:showCatName val="0"/>
          <c:showSerName val="0"/>
          <c:showPercent val="0"/>
          <c:showBubbleSize val="0"/>
        </c:dLbls>
        <c:smooth val="0"/>
        <c:axId val="1850150079"/>
        <c:axId val="1850150559"/>
      </c:lineChart>
      <c:catAx>
        <c:axId val="185015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50150559"/>
        <c:crosses val="autoZero"/>
        <c:auto val="1"/>
        <c:lblAlgn val="ctr"/>
        <c:lblOffset val="100"/>
        <c:noMultiLvlLbl val="0"/>
      </c:catAx>
      <c:valAx>
        <c:axId val="185015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50150079"/>
        <c:crosses val="autoZero"/>
        <c:crossBetween val="between"/>
      </c:valAx>
      <c:spPr>
        <a:solidFill>
          <a:schemeClr val="bg1"/>
        </a:solidFill>
        <a:ln cmpd="thickThin">
          <a:solidFill>
            <a:schemeClr val="accent6"/>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76F159"/>
    </a:solidFill>
    <a:ln w="92075" cap="flat" cmpd="thickThin" algn="ctr">
      <a:solidFill>
        <a:srgbClr val="40A30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DASHBOARD.xlsx]regionwise sales!region-wise sales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chemeClr val="tx1"/>
                </a:solidFill>
                <a:latin typeface="Cambria" panose="02040503050406030204" pitchFamily="18" charset="0"/>
                <a:ea typeface="Cambria" panose="02040503050406030204" pitchFamily="18" charset="0"/>
              </a:rPr>
              <a:t>Sales by Region</a:t>
            </a:r>
          </a:p>
        </c:rich>
      </c:tx>
      <c:layout>
        <c:manualLayout>
          <c:xMode val="edge"/>
          <c:yMode val="edge"/>
          <c:x val="0.30876760939121572"/>
          <c:y val="4.33999353684393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5345E-3"/>
              <c:y val="-3.67029460411387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1.468117841645548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3880593272919385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'regionwise sales'!$B$3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33-F458-41B4-B21D-84C542021629}"/>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32-F458-41B4-B21D-84C542021629}"/>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30-F458-41B4-B21D-84C542021629}"/>
              </c:ext>
            </c:extLst>
          </c:dPt>
          <c:dPt>
            <c:idx val="3"/>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31-F458-41B4-B21D-84C542021629}"/>
              </c:ext>
            </c:extLst>
          </c:dPt>
          <c:dLbls>
            <c:dLbl>
              <c:idx val="0"/>
              <c:layout>
                <c:manualLayout>
                  <c:x val="-2.3880593272919385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F458-41B4-B21D-84C542021629}"/>
                </c:ext>
              </c:extLst>
            </c:dLbl>
            <c:dLbl>
              <c:idx val="1"/>
              <c:layout>
                <c:manualLayout>
                  <c:x val="-2.2288553721384616E-3"/>
                  <c:y val="-1.468117841645548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F458-41B4-B21D-84C542021629}"/>
                </c:ext>
              </c:extLst>
            </c:dLbl>
            <c:dLbl>
              <c:idx val="2"/>
              <c:layout>
                <c:manualLayout>
                  <c:x val="-2.228855372138461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F458-41B4-B21D-84C542021629}"/>
                </c:ext>
              </c:extLst>
            </c:dLbl>
            <c:dLbl>
              <c:idx val="3"/>
              <c:layout>
                <c:manualLayout>
                  <c:x val="-2.2288553721385345E-3"/>
                  <c:y val="-3.670294604113871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F458-41B4-B21D-84C5420216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'regionwise sales'!$A$4:$A$8</c:f>
              <c:strCache>
                <c:ptCount val="4"/>
                <c:pt idx="0">
                  <c:v>East</c:v>
                </c:pt>
                <c:pt idx="1">
                  <c:v>North</c:v>
                </c:pt>
                <c:pt idx="2">
                  <c:v>South</c:v>
                </c:pt>
                <c:pt idx="3">
                  <c:v>West</c:v>
                </c:pt>
              </c:strCache>
            </c:strRef>
          </c:cat>
          <c:val>
            <c:numRef>
              <c:f>'regionwise sales'!$B$4:$B$8</c:f>
              <c:numCache>
                <c:formatCode>General</c:formatCode>
                <c:ptCount val="4"/>
                <c:pt idx="0">
                  <c:v>12</c:v>
                </c:pt>
                <c:pt idx="1">
                  <c:v>13</c:v>
                </c:pt>
                <c:pt idx="2">
                  <c:v>13</c:v>
                </c:pt>
                <c:pt idx="3">
                  <c:v>12</c:v>
                </c:pt>
              </c:numCache>
            </c:numRef>
          </c:val>
          <c:extLst>
            <c:ext xmlns:c16="http://schemas.microsoft.com/office/drawing/2014/chart" uri="{C3380CC4-5D6E-409C-BE32-E72D297353CC}">
              <c16:uniqueId val="{00000000-F458-41B4-B21D-84C542021629}"/>
            </c:ext>
          </c:extLst>
        </c:ser>
        <c:dLbls>
          <c:dLblPos val="inEnd"/>
          <c:showLegendKey val="0"/>
          <c:showVal val="1"/>
          <c:showCatName val="0"/>
          <c:showSerName val="0"/>
          <c:showPercent val="0"/>
          <c:showBubbleSize val="0"/>
        </c:dLbls>
        <c:gapWidth val="100"/>
        <c:axId val="1934502463"/>
        <c:axId val="1934526943"/>
      </c:barChart>
      <c:catAx>
        <c:axId val="193450246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526943"/>
        <c:crosses val="autoZero"/>
        <c:auto val="1"/>
        <c:lblAlgn val="ctr"/>
        <c:lblOffset val="100"/>
        <c:noMultiLvlLbl val="0"/>
      </c:catAx>
      <c:valAx>
        <c:axId val="1934526943"/>
        <c:scaling>
          <c:orientation val="minMax"/>
        </c:scaling>
        <c:delete val="1"/>
        <c:axPos val="b"/>
        <c:numFmt formatCode="General" sourceLinked="1"/>
        <c:majorTickMark val="out"/>
        <c:minorTickMark val="none"/>
        <c:tickLblPos val="nextTo"/>
        <c:crossAx val="193450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7150" cap="rnd" cmpd="thickThin"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DASHBOARD.xlsx]category-wise profit!category-wise profit</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latin typeface="Cambria" panose="02040503050406030204" pitchFamily="18" charset="0"/>
                <a:ea typeface="Cambria" panose="02040503050406030204" pitchFamily="18" charset="0"/>
              </a:rPr>
              <a:t>sales distribution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448A327-777D-43BE-92DC-A4368472A098}" type="CATEGORYNAME">
                  <a:rPr lang="en-US"/>
                  <a:pPr>
                    <a:defRPr/>
                  </a:pPr>
                  <a:t>[CATEGORY NAME]</a:t>
                </a:fld>
                <a:r>
                  <a:rPr lang="en-US"/>
                  <a:t>
</a:t>
                </a:r>
                <a:fld id="{DF7CF357-83CB-4F1C-8150-77623F09937B}" type="PERCENTAGE">
                  <a:rPr lang="en-US"/>
                  <a:pPr>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3600913361092346"/>
          <c:y val="0.13889228132197762"/>
          <c:w val="0.46780032857207754"/>
          <c:h val="0.76673924687985429"/>
        </c:manualLayout>
      </c:layout>
      <c:doughnutChart>
        <c:varyColors val="1"/>
        <c:ser>
          <c:idx val="0"/>
          <c:order val="0"/>
          <c:tx>
            <c:strRef>
              <c:f>'category-wise profit'!$B$3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E434-45C0-93D9-793957284DE0}"/>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34-45C0-93D9-793957284DE0}"/>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E434-45C0-93D9-793957284DE0}"/>
              </c:ext>
            </c:extLst>
          </c:dPt>
          <c:dLbls>
            <c:dLbl>
              <c:idx val="0"/>
              <c:tx>
                <c:rich>
                  <a:bodyPr/>
                  <a:lstStyle/>
                  <a:p>
                    <a:fld id="{8448A327-777D-43BE-92DC-A4368472A098}" type="CATEGORYNAME">
                      <a:rPr lang="en-US"/>
                      <a:pPr/>
                      <a:t>[CATEGORY NAME]</a:t>
                    </a:fld>
                    <a:r>
                      <a:rPr lang="en-US"/>
                      <a:t>
</a:t>
                    </a:r>
                    <a:fld id="{DF7CF357-83CB-4F1C-8150-77623F0993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434-45C0-93D9-793957284DE0}"/>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'category-wise profit'!$A$4:$A$7</c:f>
              <c:strCache>
                <c:ptCount val="3"/>
                <c:pt idx="0">
                  <c:v>Electronics</c:v>
                </c:pt>
                <c:pt idx="1">
                  <c:v>Furniture</c:v>
                </c:pt>
                <c:pt idx="2">
                  <c:v>Stationery</c:v>
                </c:pt>
              </c:strCache>
            </c:strRef>
          </c:cat>
          <c:val>
            <c:numRef>
              <c:f>'category-wise profit'!$B$4:$B$7</c:f>
              <c:numCache>
                <c:formatCode>General</c:formatCode>
                <c:ptCount val="3"/>
                <c:pt idx="0">
                  <c:v>25</c:v>
                </c:pt>
                <c:pt idx="1">
                  <c:v>16</c:v>
                </c:pt>
                <c:pt idx="2">
                  <c:v>9</c:v>
                </c:pt>
              </c:numCache>
            </c:numRef>
          </c:val>
          <c:extLst>
            <c:ext xmlns:c16="http://schemas.microsoft.com/office/drawing/2014/chart" uri="{C3380CC4-5D6E-409C-BE32-E72D297353CC}">
              <c16:uniqueId val="{00000000-E434-45C0-93D9-793957284DE0}"/>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82550" cap="flat" cmpd="thickThin" algn="ctr">
      <a:solidFill>
        <a:schemeClr val="accent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DASHBOARD.xlsx]regionwise sales!region-wise sales</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chemeClr val="tx1"/>
                </a:solidFill>
                <a:latin typeface="Cambria" panose="02040503050406030204" pitchFamily="18" charset="0"/>
                <a:ea typeface="Cambria" panose="02040503050406030204" pitchFamily="18" charset="0"/>
              </a:rPr>
              <a:t>Sales by Region</a:t>
            </a:r>
          </a:p>
        </c:rich>
      </c:tx>
      <c:layout>
        <c:manualLayout>
          <c:xMode val="edge"/>
          <c:yMode val="edge"/>
          <c:x val="0.30876760939121572"/>
          <c:y val="4.33999353684393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5345E-3"/>
              <c:y val="-3.67029460411387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1.468117841645548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3880593272919385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3880593272919385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1.468117841645548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5345E-3"/>
              <c:y val="-3.67029460411387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3880593272919385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1.468117841645548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461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2288553721385345E-3"/>
              <c:y val="-3.67029460411387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'regionwise sales'!$B$3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0-5CD2-407C-87F9-B0C9532859D7}"/>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5CD2-407C-87F9-B0C9532859D7}"/>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2-5CD2-407C-87F9-B0C9532859D7}"/>
              </c:ext>
            </c:extLst>
          </c:dPt>
          <c:dPt>
            <c:idx val="3"/>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3-5CD2-407C-87F9-B0C9532859D7}"/>
              </c:ext>
            </c:extLst>
          </c:dPt>
          <c:dLbls>
            <c:dLbl>
              <c:idx val="0"/>
              <c:layout>
                <c:manualLayout>
                  <c:x val="-2.3880593272919385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D2-407C-87F9-B0C9532859D7}"/>
                </c:ext>
              </c:extLst>
            </c:dLbl>
            <c:dLbl>
              <c:idx val="1"/>
              <c:layout>
                <c:manualLayout>
                  <c:x val="-2.2288553721384616E-3"/>
                  <c:y val="-1.468117841645548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D2-407C-87F9-B0C9532859D7}"/>
                </c:ext>
              </c:extLst>
            </c:dLbl>
            <c:dLbl>
              <c:idx val="2"/>
              <c:layout>
                <c:manualLayout>
                  <c:x val="-2.228855372138461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D2-407C-87F9-B0C9532859D7}"/>
                </c:ext>
              </c:extLst>
            </c:dLbl>
            <c:dLbl>
              <c:idx val="3"/>
              <c:layout>
                <c:manualLayout>
                  <c:x val="-2.2288553721385345E-3"/>
                  <c:y val="-3.670294604113871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D2-407C-87F9-B0C953285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'regionwise sales'!$A$4:$A$8</c:f>
              <c:strCache>
                <c:ptCount val="4"/>
                <c:pt idx="0">
                  <c:v>East</c:v>
                </c:pt>
                <c:pt idx="1">
                  <c:v>North</c:v>
                </c:pt>
                <c:pt idx="2">
                  <c:v>South</c:v>
                </c:pt>
                <c:pt idx="3">
                  <c:v>West</c:v>
                </c:pt>
              </c:strCache>
            </c:strRef>
          </c:cat>
          <c:val>
            <c:numRef>
              <c:f>'regionwise sales'!$B$4:$B$8</c:f>
              <c:numCache>
                <c:formatCode>General</c:formatCode>
                <c:ptCount val="4"/>
                <c:pt idx="0">
                  <c:v>12</c:v>
                </c:pt>
                <c:pt idx="1">
                  <c:v>13</c:v>
                </c:pt>
                <c:pt idx="2">
                  <c:v>13</c:v>
                </c:pt>
                <c:pt idx="3">
                  <c:v>12</c:v>
                </c:pt>
              </c:numCache>
            </c:numRef>
          </c:val>
          <c:extLst>
            <c:ext xmlns:c16="http://schemas.microsoft.com/office/drawing/2014/chart" uri="{C3380CC4-5D6E-409C-BE32-E72D297353CC}">
              <c16:uniqueId val="{00000004-5CD2-407C-87F9-B0C9532859D7}"/>
            </c:ext>
          </c:extLst>
        </c:ser>
        <c:dLbls>
          <c:dLblPos val="inEnd"/>
          <c:showLegendKey val="0"/>
          <c:showVal val="1"/>
          <c:showCatName val="0"/>
          <c:showSerName val="0"/>
          <c:showPercent val="0"/>
          <c:showBubbleSize val="0"/>
        </c:dLbls>
        <c:gapWidth val="100"/>
        <c:axId val="1934502463"/>
        <c:axId val="1934526943"/>
      </c:barChart>
      <c:catAx>
        <c:axId val="193450246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526943"/>
        <c:crosses val="autoZero"/>
        <c:auto val="1"/>
        <c:lblAlgn val="ctr"/>
        <c:lblOffset val="100"/>
        <c:noMultiLvlLbl val="0"/>
      </c:catAx>
      <c:valAx>
        <c:axId val="1934526943"/>
        <c:scaling>
          <c:orientation val="minMax"/>
        </c:scaling>
        <c:delete val="1"/>
        <c:axPos val="b"/>
        <c:numFmt formatCode="General" sourceLinked="1"/>
        <c:majorTickMark val="out"/>
        <c:minorTickMark val="none"/>
        <c:tickLblPos val="nextTo"/>
        <c:crossAx val="193450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7150" cap="rnd" cmpd="thickThin"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DASHBOARD.xlsx]category-wise profit!category-wise profit</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latin typeface="Cambria" panose="02040503050406030204" pitchFamily="18" charset="0"/>
                <a:ea typeface="Cambria" panose="02040503050406030204" pitchFamily="18" charset="0"/>
              </a:rPr>
              <a:t>sales distribution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448A327-777D-43BE-92DC-A4368472A098}"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a:t>
                </a:r>
                <a:fld id="{DF7CF357-83CB-4F1C-8150-77623F09937B}" type="PERCENTAGE">
                  <a:rPr lang="en-US"/>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448A327-777D-43BE-92DC-A4368472A098}"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a:t>
                </a:r>
                <a:fld id="{DF7CF357-83CB-4F1C-8150-77623F09937B}" type="PERCENTAGE">
                  <a:rPr lang="en-US"/>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448A327-777D-43BE-92DC-A4368472A098}" type="CATEGORYNAME">
                  <a:rPr lang="en-US"/>
                  <a:pPr>
                    <a:defRPr/>
                  </a:pPr>
                  <a:t>[CATEGORY NAME]</a:t>
                </a:fld>
                <a:r>
                  <a:rPr lang="en-US"/>
                  <a:t>
</a:t>
                </a:r>
                <a:fld id="{DF7CF357-83CB-4F1C-8150-77623F09937B}" type="PERCENTAGE">
                  <a:rPr lang="en-US"/>
                  <a:pPr>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3600913361092346"/>
          <c:y val="0.13889228132197762"/>
          <c:w val="0.46780032857207754"/>
          <c:h val="0.76673924687985429"/>
        </c:manualLayout>
      </c:layout>
      <c:doughnutChart>
        <c:varyColors val="1"/>
        <c:ser>
          <c:idx val="0"/>
          <c:order val="0"/>
          <c:tx>
            <c:strRef>
              <c:f>'category-wise profit'!$B$3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466-4515-B5C5-06E4EEBC0CA0}"/>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466-4515-B5C5-06E4EEBC0CA0}"/>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466-4515-B5C5-06E4EEBC0CA0}"/>
              </c:ext>
            </c:extLst>
          </c:dPt>
          <c:dLbls>
            <c:dLbl>
              <c:idx val="0"/>
              <c:tx>
                <c:rich>
                  <a:bodyPr/>
                  <a:lstStyle/>
                  <a:p>
                    <a:fld id="{8448A327-777D-43BE-92DC-A4368472A098}" type="CATEGORYNAME">
                      <a:rPr lang="en-US"/>
                      <a:pPr/>
                      <a:t>[CATEGORY NAME]</a:t>
                    </a:fld>
                    <a:r>
                      <a:rPr lang="en-US"/>
                      <a:t>
</a:t>
                    </a:r>
                    <a:fld id="{DF7CF357-83CB-4F1C-8150-77623F0993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466-4515-B5C5-06E4EEBC0CA0}"/>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'category-wise profit'!$A$4:$A$7</c:f>
              <c:strCache>
                <c:ptCount val="3"/>
                <c:pt idx="0">
                  <c:v>Electronics</c:v>
                </c:pt>
                <c:pt idx="1">
                  <c:v>Furniture</c:v>
                </c:pt>
                <c:pt idx="2">
                  <c:v>Stationery</c:v>
                </c:pt>
              </c:strCache>
            </c:strRef>
          </c:cat>
          <c:val>
            <c:numRef>
              <c:f>'category-wise profit'!$B$4:$B$7</c:f>
              <c:numCache>
                <c:formatCode>General</c:formatCode>
                <c:ptCount val="3"/>
                <c:pt idx="0">
                  <c:v>25</c:v>
                </c:pt>
                <c:pt idx="1">
                  <c:v>16</c:v>
                </c:pt>
                <c:pt idx="2">
                  <c:v>9</c:v>
                </c:pt>
              </c:numCache>
            </c:numRef>
          </c:val>
          <c:extLst>
            <c:ext xmlns:c16="http://schemas.microsoft.com/office/drawing/2014/chart" uri="{C3380CC4-5D6E-409C-BE32-E72D297353CC}">
              <c16:uniqueId val="{00000006-B466-4515-B5C5-06E4EEBC0CA0}"/>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82550" cap="flat" cmpd="thickThin" algn="ctr">
      <a:solidFill>
        <a:schemeClr val="accent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DASHBOARD.xlsx]product wise sales!product-wise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Cambria" panose="02040503050406030204" pitchFamily="18" charset="0"/>
                <a:ea typeface="Cambria" panose="02040503050406030204" pitchFamily="18" charset="0"/>
              </a:rPr>
              <a:t>Sales</a:t>
            </a:r>
            <a:r>
              <a:rPr lang="en-US" sz="2000" b="1" baseline="0">
                <a:solidFill>
                  <a:schemeClr val="tx1"/>
                </a:solidFill>
                <a:latin typeface="Cambria" panose="02040503050406030204" pitchFamily="18" charset="0"/>
                <a:ea typeface="Cambria" panose="02040503050406030204" pitchFamily="18" charset="0"/>
              </a:rPr>
              <a:t> Trend</a:t>
            </a:r>
            <a:endParaRPr lang="en-US" sz="2000" b="1">
              <a:solidFill>
                <a:schemeClr val="tx1"/>
              </a:solidFill>
              <a:latin typeface="Cambria" panose="02040503050406030204" pitchFamily="18" charset="0"/>
              <a:ea typeface="Cambria" panose="02040503050406030204" pitchFamily="18" charset="0"/>
            </a:endParaRPr>
          </a:p>
        </c:rich>
      </c:tx>
      <c:layout>
        <c:manualLayout>
          <c:xMode val="edge"/>
          <c:yMode val="edge"/>
          <c:x val="0.32301941763264175"/>
          <c:y val="3.122560499609679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4D6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4D6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4D6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03541357421725E-2"/>
          <c:y val="0.11581576893052305"/>
          <c:w val="0.93682928103080565"/>
          <c:h val="0.70885418011273182"/>
        </c:manualLayout>
      </c:layout>
      <c:lineChart>
        <c:grouping val="stacked"/>
        <c:varyColors val="0"/>
        <c:ser>
          <c:idx val="0"/>
          <c:order val="0"/>
          <c:tx>
            <c:strRef>
              <c:f>'product wise sales'!$B$3</c:f>
              <c:strCache>
                <c:ptCount val="1"/>
                <c:pt idx="0">
                  <c:v>Total</c:v>
                </c:pt>
              </c:strCache>
            </c:strRef>
          </c:tx>
          <c:spPr>
            <a:ln w="28575" cap="rnd">
              <a:solidFill>
                <a:srgbClr val="54D60C"/>
              </a:solidFill>
              <a:round/>
            </a:ln>
            <a:effectLst/>
          </c:spPr>
          <c:marker>
            <c:symbol val="none"/>
          </c:marker>
          <c:cat>
            <c:strRef>
              <c:f>'product wise sales'!$A$4:$A$32</c:f>
              <c:strCache>
                <c:ptCount val="28"/>
                <c:pt idx="0">
                  <c:v>Almirah</c:v>
                </c:pt>
                <c:pt idx="1">
                  <c:v>Bookshelf</c:v>
                </c:pt>
                <c:pt idx="2">
                  <c:v>Camera</c:v>
                </c:pt>
                <c:pt idx="3">
                  <c:v>Chair</c:v>
                </c:pt>
                <c:pt idx="4">
                  <c:v>Cupboard</c:v>
                </c:pt>
                <c:pt idx="5">
                  <c:v>Desk</c:v>
                </c:pt>
                <c:pt idx="6">
                  <c:v>Files</c:v>
                </c:pt>
                <c:pt idx="7">
                  <c:v>Headphones</c:v>
                </c:pt>
                <c:pt idx="8">
                  <c:v>Keyboard</c:v>
                </c:pt>
                <c:pt idx="9">
                  <c:v>Laptop</c:v>
                </c:pt>
                <c:pt idx="10">
                  <c:v>Markers</c:v>
                </c:pt>
                <c:pt idx="11">
                  <c:v>Mobile Phone</c:v>
                </c:pt>
                <c:pt idx="12">
                  <c:v>Monitor</c:v>
                </c:pt>
                <c:pt idx="13">
                  <c:v>Mouse</c:v>
                </c:pt>
                <c:pt idx="14">
                  <c:v>Notebook</c:v>
                </c:pt>
                <c:pt idx="15">
                  <c:v>Office Chair</c:v>
                </c:pt>
                <c:pt idx="16">
                  <c:v>Office Desk</c:v>
                </c:pt>
                <c:pt idx="17">
                  <c:v>Office Table</c:v>
                </c:pt>
                <c:pt idx="18">
                  <c:v>Pen</c:v>
                </c:pt>
                <c:pt idx="19">
                  <c:v>Pen Set</c:v>
                </c:pt>
                <c:pt idx="20">
                  <c:v>Power Bank</c:v>
                </c:pt>
                <c:pt idx="21">
                  <c:v>Printer</c:v>
                </c:pt>
                <c:pt idx="22">
                  <c:v>Smartwatch</c:v>
                </c:pt>
                <c:pt idx="23">
                  <c:v>Sofa</c:v>
                </c:pt>
                <c:pt idx="24">
                  <c:v>Stool</c:v>
                </c:pt>
                <c:pt idx="25">
                  <c:v>Study Table</c:v>
                </c:pt>
                <c:pt idx="26">
                  <c:v>Table</c:v>
                </c:pt>
                <c:pt idx="27">
                  <c:v>Tablet</c:v>
                </c:pt>
              </c:strCache>
            </c:strRef>
          </c:cat>
          <c:val>
            <c:numRef>
              <c:f>'product wise sales'!$B$4:$B$32</c:f>
              <c:numCache>
                <c:formatCode>General</c:formatCode>
                <c:ptCount val="28"/>
                <c:pt idx="0">
                  <c:v>1</c:v>
                </c:pt>
                <c:pt idx="1">
                  <c:v>2</c:v>
                </c:pt>
                <c:pt idx="2">
                  <c:v>3</c:v>
                </c:pt>
                <c:pt idx="3">
                  <c:v>3</c:v>
                </c:pt>
                <c:pt idx="4">
                  <c:v>2</c:v>
                </c:pt>
                <c:pt idx="5">
                  <c:v>1</c:v>
                </c:pt>
                <c:pt idx="6">
                  <c:v>2</c:v>
                </c:pt>
                <c:pt idx="7">
                  <c:v>1</c:v>
                </c:pt>
                <c:pt idx="8">
                  <c:v>2</c:v>
                </c:pt>
                <c:pt idx="9">
                  <c:v>3</c:v>
                </c:pt>
                <c:pt idx="10">
                  <c:v>1</c:v>
                </c:pt>
                <c:pt idx="11">
                  <c:v>2</c:v>
                </c:pt>
                <c:pt idx="12">
                  <c:v>2</c:v>
                </c:pt>
                <c:pt idx="13">
                  <c:v>2</c:v>
                </c:pt>
                <c:pt idx="14">
                  <c:v>3</c:v>
                </c:pt>
                <c:pt idx="15">
                  <c:v>1</c:v>
                </c:pt>
                <c:pt idx="16">
                  <c:v>1</c:v>
                </c:pt>
                <c:pt idx="17">
                  <c:v>1</c:v>
                </c:pt>
                <c:pt idx="18">
                  <c:v>1</c:v>
                </c:pt>
                <c:pt idx="19">
                  <c:v>2</c:v>
                </c:pt>
                <c:pt idx="20">
                  <c:v>1</c:v>
                </c:pt>
                <c:pt idx="21">
                  <c:v>2</c:v>
                </c:pt>
                <c:pt idx="22">
                  <c:v>3</c:v>
                </c:pt>
                <c:pt idx="23">
                  <c:v>1</c:v>
                </c:pt>
                <c:pt idx="24">
                  <c:v>1</c:v>
                </c:pt>
                <c:pt idx="25">
                  <c:v>1</c:v>
                </c:pt>
                <c:pt idx="26">
                  <c:v>1</c:v>
                </c:pt>
                <c:pt idx="27">
                  <c:v>4</c:v>
                </c:pt>
              </c:numCache>
            </c:numRef>
          </c:val>
          <c:smooth val="0"/>
          <c:extLst>
            <c:ext xmlns:c16="http://schemas.microsoft.com/office/drawing/2014/chart" uri="{C3380CC4-5D6E-409C-BE32-E72D297353CC}">
              <c16:uniqueId val="{00000000-7D99-4113-8981-F2B912AE887E}"/>
            </c:ext>
          </c:extLst>
        </c:ser>
        <c:dLbls>
          <c:showLegendKey val="0"/>
          <c:showVal val="0"/>
          <c:showCatName val="0"/>
          <c:showSerName val="0"/>
          <c:showPercent val="0"/>
          <c:showBubbleSize val="0"/>
        </c:dLbls>
        <c:smooth val="0"/>
        <c:axId val="1850150079"/>
        <c:axId val="1850150559"/>
      </c:lineChart>
      <c:catAx>
        <c:axId val="185015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50150559"/>
        <c:crosses val="autoZero"/>
        <c:auto val="1"/>
        <c:lblAlgn val="ctr"/>
        <c:lblOffset val="100"/>
        <c:noMultiLvlLbl val="0"/>
      </c:catAx>
      <c:valAx>
        <c:axId val="185015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50150079"/>
        <c:crosses val="autoZero"/>
        <c:crossBetween val="between"/>
      </c:valAx>
      <c:spPr>
        <a:solidFill>
          <a:schemeClr val="bg1"/>
        </a:solidFill>
        <a:ln cmpd="thickThin">
          <a:solidFill>
            <a:schemeClr val="accent6"/>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76F159"/>
    </a:solidFill>
    <a:ln w="92075" cap="flat" cmpd="thickThin" algn="ctr">
      <a:solidFill>
        <a:srgbClr val="40A30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295275</xdr:colOff>
      <xdr:row>1</xdr:row>
      <xdr:rowOff>76200</xdr:rowOff>
    </xdr:from>
    <xdr:to>
      <xdr:col>14</xdr:col>
      <xdr:colOff>466724</xdr:colOff>
      <xdr:row>22</xdr:row>
      <xdr:rowOff>142875</xdr:rowOff>
    </xdr:to>
    <xdr:graphicFrame macro="">
      <xdr:nvGraphicFramePr>
        <xdr:cNvPr id="4" name="Chart 3">
          <a:extLst>
            <a:ext uri="{FF2B5EF4-FFF2-40B4-BE49-F238E27FC236}">
              <a16:creationId xmlns:a16="http://schemas.microsoft.com/office/drawing/2014/main" id="{78AFF9DA-EE25-EE03-7EBE-9FCC96AE4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1</xdr:row>
      <xdr:rowOff>190499</xdr:rowOff>
    </xdr:from>
    <xdr:to>
      <xdr:col>13</xdr:col>
      <xdr:colOff>285750</xdr:colOff>
      <xdr:row>18</xdr:row>
      <xdr:rowOff>123824</xdr:rowOff>
    </xdr:to>
    <xdr:graphicFrame macro="">
      <xdr:nvGraphicFramePr>
        <xdr:cNvPr id="2" name="Chart 1">
          <a:extLst>
            <a:ext uri="{FF2B5EF4-FFF2-40B4-BE49-F238E27FC236}">
              <a16:creationId xmlns:a16="http://schemas.microsoft.com/office/drawing/2014/main" id="{0241FFD2-91C3-B952-E872-62E77AF4E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423862</xdr:colOff>
      <xdr:row>2</xdr:row>
      <xdr:rowOff>114300</xdr:rowOff>
    </xdr:from>
    <xdr:to>
      <xdr:col>12</xdr:col>
      <xdr:colOff>447676</xdr:colOff>
      <xdr:row>22</xdr:row>
      <xdr:rowOff>38100</xdr:rowOff>
    </xdr:to>
    <xdr:graphicFrame macro="">
      <xdr:nvGraphicFramePr>
        <xdr:cNvPr id="3" name="Chart 2">
          <a:extLst>
            <a:ext uri="{FF2B5EF4-FFF2-40B4-BE49-F238E27FC236}">
              <a16:creationId xmlns:a16="http://schemas.microsoft.com/office/drawing/2014/main" id="{FB50C248-EF40-8385-7C88-C1984A17E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3</xdr:row>
      <xdr:rowOff>1</xdr:rowOff>
    </xdr:from>
    <xdr:to>
      <xdr:col>7</xdr:col>
      <xdr:colOff>504264</xdr:colOff>
      <xdr:row>17</xdr:row>
      <xdr:rowOff>112059</xdr:rowOff>
    </xdr:to>
    <xdr:graphicFrame macro="">
      <xdr:nvGraphicFramePr>
        <xdr:cNvPr id="2" name="Chart 1">
          <a:extLst>
            <a:ext uri="{FF2B5EF4-FFF2-40B4-BE49-F238E27FC236}">
              <a16:creationId xmlns:a16="http://schemas.microsoft.com/office/drawing/2014/main" id="{F348A4C6-D90E-414A-B884-8BF7113A6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134471</xdr:colOff>
      <xdr:row>3</xdr:row>
      <xdr:rowOff>44824</xdr:rowOff>
    </xdr:from>
    <xdr:to>
      <xdr:col>14</xdr:col>
      <xdr:colOff>571500</xdr:colOff>
      <xdr:row>17</xdr:row>
      <xdr:rowOff>100853</xdr:rowOff>
    </xdr:to>
    <xdr:graphicFrame macro="">
      <xdr:nvGraphicFramePr>
        <xdr:cNvPr id="3" name="Chart 2">
          <a:extLst>
            <a:ext uri="{FF2B5EF4-FFF2-40B4-BE49-F238E27FC236}">
              <a16:creationId xmlns:a16="http://schemas.microsoft.com/office/drawing/2014/main" id="{3C5EA22D-6561-45C0-8C51-18E61FF0B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56031</xdr:rowOff>
    </xdr:from>
    <xdr:to>
      <xdr:col>14</xdr:col>
      <xdr:colOff>571499</xdr:colOff>
      <xdr:row>34</xdr:row>
      <xdr:rowOff>22412</xdr:rowOff>
    </xdr:to>
    <xdr:graphicFrame macro="">
      <xdr:nvGraphicFramePr>
        <xdr:cNvPr id="4" name="Chart 3">
          <a:extLst>
            <a:ext uri="{FF2B5EF4-FFF2-40B4-BE49-F238E27FC236}">
              <a16:creationId xmlns:a16="http://schemas.microsoft.com/office/drawing/2014/main" id="{B7629517-FFDD-4F53-A9CA-0BEA268F2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536762</xdr:colOff>
      <xdr:row>3</xdr:row>
      <xdr:rowOff>15687</xdr:rowOff>
    </xdr:from>
    <xdr:to>
      <xdr:col>23</xdr:col>
      <xdr:colOff>550209</xdr:colOff>
      <xdr:row>11</xdr:row>
      <xdr:rowOff>145676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5A07E02-DAB0-15A6-9EEF-96D9943A1E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39115" y="587187"/>
              <a:ext cx="1828800" cy="1653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560293</xdr:colOff>
      <xdr:row>12</xdr:row>
      <xdr:rowOff>127747</xdr:rowOff>
    </xdr:from>
    <xdr:to>
      <xdr:col>23</xdr:col>
      <xdr:colOff>493057</xdr:colOff>
      <xdr:row>19</xdr:row>
      <xdr:rowOff>156882</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247A4E56-A480-2971-6072-B6621ADE726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662646" y="2413747"/>
              <a:ext cx="1748117" cy="1362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582706</xdr:colOff>
      <xdr:row>20</xdr:row>
      <xdr:rowOff>172570</xdr:rowOff>
    </xdr:from>
    <xdr:to>
      <xdr:col>23</xdr:col>
      <xdr:colOff>527797</xdr:colOff>
      <xdr:row>29</xdr:row>
      <xdr:rowOff>78441</xdr:rowOff>
    </xdr:to>
    <mc:AlternateContent xmlns:mc="http://schemas.openxmlformats.org/markup-compatibility/2006" xmlns:a14="http://schemas.microsoft.com/office/drawing/2010/main">
      <mc:Choice Requires="a14">
        <xdr:graphicFrame macro="">
          <xdr:nvGraphicFramePr>
            <xdr:cNvPr id="12" name="Product_Name">
              <a:extLst>
                <a:ext uri="{FF2B5EF4-FFF2-40B4-BE49-F238E27FC236}">
                  <a16:creationId xmlns:a16="http://schemas.microsoft.com/office/drawing/2014/main" id="{14881629-4A7D-13F6-FD13-10611D9A0B59}"/>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2685059" y="3982570"/>
              <a:ext cx="1760444" cy="1620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392206</xdr:colOff>
      <xdr:row>3</xdr:row>
      <xdr:rowOff>156883</xdr:rowOff>
    </xdr:from>
    <xdr:to>
      <xdr:col>20</xdr:col>
      <xdr:colOff>145676</xdr:colOff>
      <xdr:row>13</xdr:row>
      <xdr:rowOff>11207</xdr:rowOff>
    </xdr:to>
    <xdr:sp macro="" textlink="">
      <xdr:nvSpPr>
        <xdr:cNvPr id="5" name="Rectangle: Rounded Corners 4">
          <a:extLst>
            <a:ext uri="{FF2B5EF4-FFF2-40B4-BE49-F238E27FC236}">
              <a16:creationId xmlns:a16="http://schemas.microsoft.com/office/drawing/2014/main" id="{FBEED120-83E5-3552-54BF-B7EF42521DF3}"/>
            </a:ext>
          </a:extLst>
        </xdr:cNvPr>
        <xdr:cNvSpPr/>
      </xdr:nvSpPr>
      <xdr:spPr>
        <a:xfrm>
          <a:off x="9468971" y="728383"/>
          <a:ext cx="2779058" cy="1759324"/>
        </a:xfrm>
        <a:prstGeom prst="roundRect">
          <a:avLst/>
        </a:prstGeom>
        <a:ln w="63500" cmpd="thickThi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515470</xdr:colOff>
      <xdr:row>4</xdr:row>
      <xdr:rowOff>112059</xdr:rowOff>
    </xdr:from>
    <xdr:to>
      <xdr:col>20</xdr:col>
      <xdr:colOff>11206</xdr:colOff>
      <xdr:row>6</xdr:row>
      <xdr:rowOff>168088</xdr:rowOff>
    </xdr:to>
    <xdr:sp macro="" textlink="">
      <xdr:nvSpPr>
        <xdr:cNvPr id="6" name="TextBox 5">
          <a:extLst>
            <a:ext uri="{FF2B5EF4-FFF2-40B4-BE49-F238E27FC236}">
              <a16:creationId xmlns:a16="http://schemas.microsoft.com/office/drawing/2014/main" id="{ED26FCE6-8C5F-39DC-E532-7668316C712B}"/>
            </a:ext>
          </a:extLst>
        </xdr:cNvPr>
        <xdr:cNvSpPr txBox="1"/>
      </xdr:nvSpPr>
      <xdr:spPr>
        <a:xfrm>
          <a:off x="9592235" y="874059"/>
          <a:ext cx="2521324" cy="43702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005E00"/>
              </a:solidFill>
              <a:latin typeface="Corbel" panose="020B0503020204020204" pitchFamily="34" charset="0"/>
            </a:rPr>
            <a:t>Total sales</a:t>
          </a:r>
        </a:p>
      </xdr:txBody>
    </xdr:sp>
    <xdr:clientData/>
  </xdr:twoCellAnchor>
  <xdr:twoCellAnchor>
    <xdr:from>
      <xdr:col>15</xdr:col>
      <xdr:colOff>526676</xdr:colOff>
      <xdr:row>8</xdr:row>
      <xdr:rowOff>11206</xdr:rowOff>
    </xdr:from>
    <xdr:to>
      <xdr:col>19</xdr:col>
      <xdr:colOff>549089</xdr:colOff>
      <xdr:row>11</xdr:row>
      <xdr:rowOff>112059</xdr:rowOff>
    </xdr:to>
    <xdr:sp macro="" textlink="$K$38">
      <xdr:nvSpPr>
        <xdr:cNvPr id="7" name="TextBox 6">
          <a:extLst>
            <a:ext uri="{FF2B5EF4-FFF2-40B4-BE49-F238E27FC236}">
              <a16:creationId xmlns:a16="http://schemas.microsoft.com/office/drawing/2014/main" id="{9C5D137C-9932-68AF-3E28-4166C0D219CC}"/>
            </a:ext>
          </a:extLst>
        </xdr:cNvPr>
        <xdr:cNvSpPr txBox="1"/>
      </xdr:nvSpPr>
      <xdr:spPr>
        <a:xfrm>
          <a:off x="9603441" y="1535206"/>
          <a:ext cx="2442883" cy="67235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3FA8F1-38B6-428C-BB1F-A3964556BC25}" type="TxLink">
            <a:rPr lang="en-US" sz="2800" b="1" i="0" u="none" strike="noStrike">
              <a:solidFill>
                <a:srgbClr val="000000"/>
              </a:solidFill>
              <a:latin typeface="Corbel" panose="020B0503020204020204" pitchFamily="34" charset="0"/>
              <a:cs typeface="Calibri"/>
            </a:rPr>
            <a:pPr algn="ctr"/>
            <a:t>907000</a:t>
          </a:fld>
          <a:endParaRPr lang="en-IN" sz="1200" b="1">
            <a:latin typeface="Corbel" panose="020B0503020204020204" pitchFamily="34" charset="0"/>
          </a:endParaRPr>
        </a:p>
      </xdr:txBody>
    </xdr:sp>
    <xdr:clientData/>
  </xdr:twoCellAnchor>
  <xdr:twoCellAnchor>
    <xdr:from>
      <xdr:col>15</xdr:col>
      <xdr:colOff>448235</xdr:colOff>
      <xdr:row>14</xdr:row>
      <xdr:rowOff>89646</xdr:rowOff>
    </xdr:from>
    <xdr:to>
      <xdr:col>20</xdr:col>
      <xdr:colOff>179294</xdr:colOff>
      <xdr:row>23</xdr:row>
      <xdr:rowOff>123265</xdr:rowOff>
    </xdr:to>
    <xdr:sp macro="" textlink="">
      <xdr:nvSpPr>
        <xdr:cNvPr id="8" name="Rectangle: Rounded Corners 7">
          <a:extLst>
            <a:ext uri="{FF2B5EF4-FFF2-40B4-BE49-F238E27FC236}">
              <a16:creationId xmlns:a16="http://schemas.microsoft.com/office/drawing/2014/main" id="{F8E1477A-EC94-EAE7-9F99-AED8BAF8137F}"/>
            </a:ext>
          </a:extLst>
        </xdr:cNvPr>
        <xdr:cNvSpPr/>
      </xdr:nvSpPr>
      <xdr:spPr>
        <a:xfrm>
          <a:off x="9525000" y="2756646"/>
          <a:ext cx="2756647" cy="1748119"/>
        </a:xfrm>
        <a:prstGeom prst="roundRect">
          <a:avLst/>
        </a:prstGeom>
        <a:noFill/>
        <a:ln w="63500" cmpd="thickThin">
          <a:solidFill>
            <a:srgbClr val="40A3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571500</xdr:colOff>
      <xdr:row>14</xdr:row>
      <xdr:rowOff>179294</xdr:rowOff>
    </xdr:from>
    <xdr:to>
      <xdr:col>20</xdr:col>
      <xdr:colOff>67235</xdr:colOff>
      <xdr:row>17</xdr:row>
      <xdr:rowOff>145677</xdr:rowOff>
    </xdr:to>
    <xdr:sp macro="" textlink="">
      <xdr:nvSpPr>
        <xdr:cNvPr id="9" name="TextBox 8">
          <a:extLst>
            <a:ext uri="{FF2B5EF4-FFF2-40B4-BE49-F238E27FC236}">
              <a16:creationId xmlns:a16="http://schemas.microsoft.com/office/drawing/2014/main" id="{2A19E4A8-65B0-444A-0680-A3E73EA48704}"/>
            </a:ext>
          </a:extLst>
        </xdr:cNvPr>
        <xdr:cNvSpPr txBox="1"/>
      </xdr:nvSpPr>
      <xdr:spPr>
        <a:xfrm>
          <a:off x="9648265" y="2846294"/>
          <a:ext cx="2521323" cy="5378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005E00"/>
              </a:solidFill>
              <a:latin typeface="Corbel" panose="020B0503020204020204" pitchFamily="34" charset="0"/>
            </a:rPr>
            <a:t>Total profit</a:t>
          </a:r>
        </a:p>
      </xdr:txBody>
    </xdr:sp>
    <xdr:clientData/>
  </xdr:twoCellAnchor>
  <xdr:twoCellAnchor>
    <xdr:from>
      <xdr:col>15</xdr:col>
      <xdr:colOff>549088</xdr:colOff>
      <xdr:row>18</xdr:row>
      <xdr:rowOff>168087</xdr:rowOff>
    </xdr:from>
    <xdr:to>
      <xdr:col>20</xdr:col>
      <xdr:colOff>44823</xdr:colOff>
      <xdr:row>22</xdr:row>
      <xdr:rowOff>89646</xdr:rowOff>
    </xdr:to>
    <xdr:sp macro="" textlink="$N$37">
      <xdr:nvSpPr>
        <xdr:cNvPr id="13" name="TextBox 12">
          <a:extLst>
            <a:ext uri="{FF2B5EF4-FFF2-40B4-BE49-F238E27FC236}">
              <a16:creationId xmlns:a16="http://schemas.microsoft.com/office/drawing/2014/main" id="{5656D06E-BA1B-40FA-1BB6-C9B5913C44B3}"/>
            </a:ext>
          </a:extLst>
        </xdr:cNvPr>
        <xdr:cNvSpPr txBox="1"/>
      </xdr:nvSpPr>
      <xdr:spPr>
        <a:xfrm>
          <a:off x="9625853" y="3597087"/>
          <a:ext cx="2521323" cy="6835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97643-3DE6-49AF-BDC6-16A06A2A689A}" type="TxLink">
            <a:rPr lang="en-US" sz="2800" b="1" i="0" u="none" strike="noStrike">
              <a:solidFill>
                <a:srgbClr val="000000"/>
              </a:solidFill>
              <a:latin typeface="Corbel" panose="020B0503020204020204" pitchFamily="34" charset="0"/>
              <a:cs typeface="Calibri"/>
            </a:rPr>
            <a:pPr algn="ctr"/>
            <a:t>157000</a:t>
          </a:fld>
          <a:endParaRPr lang="en-IN" sz="1200" b="1">
            <a:latin typeface="Corbel" panose="020B0503020204020204" pitchFamily="34" charset="0"/>
          </a:endParaRPr>
        </a:p>
      </xdr:txBody>
    </xdr:sp>
    <xdr:clientData/>
  </xdr:twoCellAnchor>
  <xdr:twoCellAnchor>
    <xdr:from>
      <xdr:col>15</xdr:col>
      <xdr:colOff>470647</xdr:colOff>
      <xdr:row>25</xdr:row>
      <xdr:rowOff>145677</xdr:rowOff>
    </xdr:from>
    <xdr:to>
      <xdr:col>20</xdr:col>
      <xdr:colOff>235323</xdr:colOff>
      <xdr:row>34</xdr:row>
      <xdr:rowOff>123265</xdr:rowOff>
    </xdr:to>
    <xdr:sp macro="" textlink="">
      <xdr:nvSpPr>
        <xdr:cNvPr id="14" name="Rectangle: Rounded Corners 13">
          <a:extLst>
            <a:ext uri="{FF2B5EF4-FFF2-40B4-BE49-F238E27FC236}">
              <a16:creationId xmlns:a16="http://schemas.microsoft.com/office/drawing/2014/main" id="{11828940-FB1B-50F8-4EDB-72D44F482343}"/>
            </a:ext>
          </a:extLst>
        </xdr:cNvPr>
        <xdr:cNvSpPr/>
      </xdr:nvSpPr>
      <xdr:spPr>
        <a:xfrm>
          <a:off x="9547412" y="4908177"/>
          <a:ext cx="2790264" cy="1692088"/>
        </a:xfrm>
        <a:prstGeom prst="roundRect">
          <a:avLst/>
        </a:prstGeom>
        <a:ln w="63500" cmpd="thickThin">
          <a:solidFill>
            <a:srgbClr val="40A309"/>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537880</xdr:colOff>
      <xdr:row>26</xdr:row>
      <xdr:rowOff>134471</xdr:rowOff>
    </xdr:from>
    <xdr:to>
      <xdr:col>20</xdr:col>
      <xdr:colOff>89647</xdr:colOff>
      <xdr:row>29</xdr:row>
      <xdr:rowOff>67236</xdr:rowOff>
    </xdr:to>
    <xdr:sp macro="" textlink="">
      <xdr:nvSpPr>
        <xdr:cNvPr id="15" name="TextBox 14">
          <a:extLst>
            <a:ext uri="{FF2B5EF4-FFF2-40B4-BE49-F238E27FC236}">
              <a16:creationId xmlns:a16="http://schemas.microsoft.com/office/drawing/2014/main" id="{05964C3D-5BE1-5C02-8203-5FBFA7E4F6DF}"/>
            </a:ext>
          </a:extLst>
        </xdr:cNvPr>
        <xdr:cNvSpPr txBox="1"/>
      </xdr:nvSpPr>
      <xdr:spPr>
        <a:xfrm>
          <a:off x="9614645" y="5087471"/>
          <a:ext cx="2577355" cy="50426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005E00"/>
              </a:solidFill>
              <a:latin typeface="Corbel" panose="020B0503020204020204" pitchFamily="34" charset="0"/>
            </a:rPr>
            <a:t>Total Orders</a:t>
          </a:r>
          <a:endParaRPr lang="en-IN" sz="2000" b="1">
            <a:solidFill>
              <a:srgbClr val="005E00"/>
            </a:solidFill>
            <a:latin typeface="Corbel" panose="020B0503020204020204" pitchFamily="34" charset="0"/>
          </a:endParaRPr>
        </a:p>
      </xdr:txBody>
    </xdr:sp>
    <xdr:clientData/>
  </xdr:twoCellAnchor>
  <xdr:twoCellAnchor>
    <xdr:from>
      <xdr:col>16</xdr:col>
      <xdr:colOff>44824</xdr:colOff>
      <xdr:row>30</xdr:row>
      <xdr:rowOff>156882</xdr:rowOff>
    </xdr:from>
    <xdr:to>
      <xdr:col>20</xdr:col>
      <xdr:colOff>67236</xdr:colOff>
      <xdr:row>33</xdr:row>
      <xdr:rowOff>78440</xdr:rowOff>
    </xdr:to>
    <xdr:sp macro="" textlink="$P$37">
      <xdr:nvSpPr>
        <xdr:cNvPr id="16" name="TextBox 15">
          <a:extLst>
            <a:ext uri="{FF2B5EF4-FFF2-40B4-BE49-F238E27FC236}">
              <a16:creationId xmlns:a16="http://schemas.microsoft.com/office/drawing/2014/main" id="{6A549BA0-95DB-E042-3B9C-14C5CC77B9CC}"/>
            </a:ext>
          </a:extLst>
        </xdr:cNvPr>
        <xdr:cNvSpPr txBox="1"/>
      </xdr:nvSpPr>
      <xdr:spPr>
        <a:xfrm>
          <a:off x="9726706" y="5871882"/>
          <a:ext cx="2442883" cy="49305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26F767-EA7E-47F0-99A9-DD839E58F068}" type="TxLink">
            <a:rPr lang="en-US" sz="2800" b="1" i="0" u="none" strike="noStrike">
              <a:solidFill>
                <a:srgbClr val="000000"/>
              </a:solidFill>
              <a:latin typeface="Corbel" panose="020B0503020204020204" pitchFamily="34" charset="0"/>
              <a:cs typeface="Calibri"/>
            </a:rPr>
            <a:pPr algn="ctr"/>
            <a:t>50</a:t>
          </a:fld>
          <a:endParaRPr lang="en-IN" sz="2800" b="1">
            <a:latin typeface="Corbel" panose="020B0503020204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4.739677083337" createdVersion="8" refreshedVersion="8" minRefreshableVersion="3" recordCount="52" xr:uid="{F44473EB-BEE1-4582-B04B-15F47539699F}">
  <cacheSource type="worksheet">
    <worksheetSource name="Table1"/>
  </cacheSource>
  <cacheFields count="13">
    <cacheField name="Order_ID" numFmtId="0">
      <sharedItems containsBlank="1" containsMixedTypes="1" containsNumber="1" containsInteger="1" minValue="1001" maxValue="1050"/>
    </cacheField>
    <cacheField name="Order_Date" numFmtId="14">
      <sharedItems containsDate="1" containsBlank="1" containsMixedTypes="1" minDate="2024-01-01T00:00:00" maxDate="2024-02-20T00:00:00"/>
    </cacheField>
    <cacheField name="month" numFmtId="14">
      <sharedItems/>
    </cacheField>
    <cacheField name="Region" numFmtId="0">
      <sharedItems containsBlank="1" count="6">
        <s v="Region"/>
        <s v="North"/>
        <s v="South"/>
        <s v="West"/>
        <s v="East"/>
        <m/>
      </sharedItems>
    </cacheField>
    <cacheField name="State" numFmtId="0">
      <sharedItems containsBlank="1"/>
    </cacheField>
    <cacheField name="City" numFmtId="0">
      <sharedItems containsBlank="1"/>
    </cacheField>
    <cacheField name="Product_Category" numFmtId="0">
      <sharedItems containsBlank="1" count="5">
        <s v="Product_Category"/>
        <s v="Electronics"/>
        <s v="Furniture"/>
        <s v="Stationery"/>
        <m/>
      </sharedItems>
    </cacheField>
    <cacheField name="Product_Name" numFmtId="0">
      <sharedItems containsBlank="1" count="30">
        <s v="Product_Name"/>
        <s v="Mobile Phone"/>
        <s v="Office Chair"/>
        <s v="Laptop"/>
        <s v="Notebook"/>
        <s v="Study Table"/>
        <s v="Headphones"/>
        <s v="Smartwatch"/>
        <s v="Bookshelf"/>
        <s v="Tablet"/>
        <s v="Pen Set"/>
        <s v="Sofa"/>
        <s v="Camera"/>
        <s v="Desk"/>
        <s v="Files"/>
        <s v="Printer"/>
        <s v="Power Bank"/>
        <s v="Cupboard"/>
        <s v="Monitor"/>
        <s v="Markers"/>
        <s v="Office Table"/>
        <s v="Keyboard"/>
        <s v="Mouse"/>
        <s v="Chair"/>
        <s v="Stool"/>
        <s v="Almirah"/>
        <s v="Pen"/>
        <s v="Table"/>
        <s v="Office Desk"/>
        <m/>
      </sharedItems>
    </cacheField>
    <cacheField name="Sales" numFmtId="0">
      <sharedItems containsBlank="1" containsMixedTypes="1" containsNumber="1" containsInteger="1" minValue="2000" maxValue="60000" count="48">
        <s v="Sales"/>
        <n v="25000"/>
        <n v="15000"/>
        <n v="55000"/>
        <n v="5000"/>
        <n v="18000"/>
        <n v="8000"/>
        <n v="12000"/>
        <n v="14000"/>
        <n v="20000"/>
        <n v="3000"/>
        <n v="42000"/>
        <n v="30000"/>
        <n v="58000"/>
        <n v="22000"/>
        <n v="4000"/>
        <n v="16000"/>
        <n v="6000"/>
        <n v="35000"/>
        <n v="2500"/>
        <n v="26000"/>
        <n v="7000"/>
        <n v="4500"/>
        <n v="9000"/>
        <n v="21000"/>
        <n v="4800"/>
        <n v="32000"/>
        <n v="6500"/>
        <n v="38000"/>
        <n v="11000"/>
        <n v="17000"/>
        <n v="2000"/>
        <n v="9500"/>
        <n v="60000"/>
        <n v="19000"/>
        <n v="24000"/>
        <n v="5200"/>
        <n v="13000"/>
        <n v="15500"/>
        <n v="31000"/>
        <n v="36000"/>
        <n v="4200"/>
        <n v="17500"/>
        <n v="7200"/>
        <n v="8800"/>
        <n v="22500"/>
        <n v="3500"/>
        <m/>
      </sharedItems>
    </cacheField>
    <cacheField name="Quantity" numFmtId="0">
      <sharedItems containsBlank="1" containsMixedTypes="1" containsNumber="1" containsInteger="1" minValue="1" maxValue="20"/>
    </cacheField>
    <cacheField name="Profit" numFmtId="0">
      <sharedItems containsBlank="1" containsMixedTypes="1" containsNumber="1" containsInteger="1" minValue="700" maxValue="8500" count="40">
        <s v="Profit"/>
        <n v="4000"/>
        <n v="3000"/>
        <n v="7000"/>
        <n v="1500"/>
        <n v="3500"/>
        <n v="2000"/>
        <n v="2500"/>
        <n v="2800"/>
        <n v="1000"/>
        <n v="6000"/>
        <n v="5000"/>
        <n v="8000"/>
        <n v="1200"/>
        <n v="1800"/>
        <n v="5500"/>
        <n v="3200"/>
        <n v="900"/>
        <n v="4200"/>
        <n v="1700"/>
        <n v="3800"/>
        <n v="1400"/>
        <n v="5200"/>
        <n v="1300"/>
        <n v="6200"/>
        <n v="2100"/>
        <n v="700"/>
        <n v="1600"/>
        <n v="8500"/>
        <n v="3400"/>
        <n v="3900"/>
        <n v="2600"/>
        <n v="2900"/>
        <n v="5100"/>
        <n v="5600"/>
        <n v="3600"/>
        <n v="1250"/>
        <n v="1650"/>
        <n v="1100"/>
        <m/>
      </sharedItems>
    </cacheField>
    <cacheField name="profit %" numFmtId="0">
      <sharedItems containsMixedTypes="1" containsNumber="1" minValue="12.727272727272727" maxValue="36"/>
    </cacheField>
    <cacheField name="Customer_Type" numFmtId="0">
      <sharedItems containsBlank="1"/>
    </cacheField>
  </cacheFields>
  <extLst>
    <ext xmlns:x14="http://schemas.microsoft.com/office/spreadsheetml/2009/9/main" uri="{725AE2AE-9491-48be-B2B4-4EB974FC3084}">
      <x14:pivotCacheDefinition pivotCacheId="398262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Order_ID"/>
    <s v="Order_Date"/>
    <s v="Order_Date"/>
    <x v="0"/>
    <s v="State"/>
    <s v="City"/>
    <x v="0"/>
    <x v="0"/>
    <x v="0"/>
    <s v="Quantity"/>
    <x v="0"/>
    <e v="#VALUE!"/>
    <s v="Customer_Type"/>
  </r>
  <r>
    <n v="1001"/>
    <d v="2024-01-01T00:00:00"/>
    <s v="Jan"/>
    <x v="1"/>
    <s v="Delhi"/>
    <s v="Delhi"/>
    <x v="1"/>
    <x v="1"/>
    <x v="1"/>
    <n v="2"/>
    <x v="1"/>
    <n v="16"/>
    <s v="Retail"/>
  </r>
  <r>
    <n v="1002"/>
    <d v="2024-01-02T00:00:00"/>
    <s v="Jan"/>
    <x v="2"/>
    <s v="Karnataka"/>
    <s v="Bangalore"/>
    <x v="2"/>
    <x v="2"/>
    <x v="2"/>
    <n v="3"/>
    <x v="2"/>
    <n v="20"/>
    <s v="Corporate"/>
  </r>
  <r>
    <n v="1003"/>
    <d v="2024-01-03T00:00:00"/>
    <s v="Jan"/>
    <x v="3"/>
    <s v="Maharashtra"/>
    <s v="Mumbai"/>
    <x v="1"/>
    <x v="3"/>
    <x v="3"/>
    <n v="1"/>
    <x v="3"/>
    <n v="12.727272727272727"/>
    <s v="Corporate"/>
  </r>
  <r>
    <n v="1004"/>
    <d v="2024-01-04T00:00:00"/>
    <s v="Jan"/>
    <x v="4"/>
    <s v="West Bengal"/>
    <s v="Kolkata"/>
    <x v="3"/>
    <x v="4"/>
    <x v="4"/>
    <n v="10"/>
    <x v="4"/>
    <n v="30"/>
    <s v="Retail"/>
  </r>
  <r>
    <n v="1005"/>
    <d v="2024-01-05T00:00:00"/>
    <s v="Jan"/>
    <x v="1"/>
    <s v="Uttar Pradesh"/>
    <s v="Lucknow"/>
    <x v="2"/>
    <x v="5"/>
    <x v="5"/>
    <n v="2"/>
    <x v="5"/>
    <n v="19.444444444444446"/>
    <s v="Retail"/>
  </r>
  <r>
    <n v="1006"/>
    <d v="2024-01-06T00:00:00"/>
    <s v="Jan"/>
    <x v="2"/>
    <s v="Tamil Nadu"/>
    <s v="Chennai"/>
    <x v="1"/>
    <x v="6"/>
    <x v="6"/>
    <n v="4"/>
    <x v="6"/>
    <n v="25"/>
    <s v="Retail"/>
  </r>
  <r>
    <n v="1007"/>
    <d v="2024-01-07T00:00:00"/>
    <s v="Jan"/>
    <x v="3"/>
    <s v="Gujarat"/>
    <s v="Ahmedabad"/>
    <x v="1"/>
    <x v="7"/>
    <x v="7"/>
    <n v="3"/>
    <x v="7"/>
    <n v="20.833333333333336"/>
    <s v="Retail"/>
  </r>
  <r>
    <n v="1008"/>
    <d v="2024-01-08T00:00:00"/>
    <s v="Jan"/>
    <x v="4"/>
    <s v="Bihar"/>
    <s v="Patna"/>
    <x v="2"/>
    <x v="8"/>
    <x v="8"/>
    <n v="2"/>
    <x v="8"/>
    <n v="20"/>
    <s v="Corporate"/>
  </r>
  <r>
    <n v="1009"/>
    <d v="2024-01-09T00:00:00"/>
    <s v="Jan"/>
    <x v="1"/>
    <s v="Punjab"/>
    <s v="Chandigarh"/>
    <x v="1"/>
    <x v="9"/>
    <x v="9"/>
    <n v="2"/>
    <x v="5"/>
    <n v="17.5"/>
    <s v="Corporate"/>
  </r>
  <r>
    <n v="1010"/>
    <d v="2024-01-10T00:00:00"/>
    <s v="Jan"/>
    <x v="2"/>
    <s v="Kerala"/>
    <s v="Kochi"/>
    <x v="3"/>
    <x v="10"/>
    <x v="10"/>
    <n v="15"/>
    <x v="9"/>
    <n v="33.333333333333329"/>
    <s v="Retail"/>
  </r>
  <r>
    <n v="1011"/>
    <d v="2024-01-11T00:00:00"/>
    <s v="Jan"/>
    <x v="3"/>
    <s v="Rajasthan"/>
    <s v="Jaipur"/>
    <x v="2"/>
    <x v="11"/>
    <x v="11"/>
    <n v="1"/>
    <x v="10"/>
    <n v="14.285714285714285"/>
    <s v="Corporate"/>
  </r>
  <r>
    <n v="1012"/>
    <d v="2024-01-12T00:00:00"/>
    <s v="Jan"/>
    <x v="4"/>
    <s v="Odisha"/>
    <s v="Bhubaneswar"/>
    <x v="1"/>
    <x v="12"/>
    <x v="12"/>
    <n v="1"/>
    <x v="11"/>
    <n v="16.666666666666664"/>
    <s v="Retail"/>
  </r>
  <r>
    <n v="1013"/>
    <d v="2024-01-13T00:00:00"/>
    <s v="Jan"/>
    <x v="1"/>
    <s v="Haryana"/>
    <s v="Gurgaon"/>
    <x v="1"/>
    <x v="3"/>
    <x v="13"/>
    <n v="1"/>
    <x v="12"/>
    <n v="13.793103448275861"/>
    <s v="Corporate"/>
  </r>
  <r>
    <n v="1014"/>
    <d v="2024-01-14T00:00:00"/>
    <s v="Jan"/>
    <x v="2"/>
    <s v="Telangana"/>
    <s v="Hyderabad"/>
    <x v="2"/>
    <x v="13"/>
    <x v="14"/>
    <n v="2"/>
    <x v="1"/>
    <n v="18.181818181818183"/>
    <s v="Corporate"/>
  </r>
  <r>
    <n v="1015"/>
    <d v="2024-01-15T00:00:00"/>
    <s v="Jan"/>
    <x v="3"/>
    <s v="Madhya Pradesh"/>
    <s v="Indore"/>
    <x v="3"/>
    <x v="14"/>
    <x v="15"/>
    <n v="20"/>
    <x v="13"/>
    <n v="30"/>
    <s v="Retail"/>
  </r>
  <r>
    <n v="1016"/>
    <d v="2024-01-16T00:00:00"/>
    <s v="Jan"/>
    <x v="4"/>
    <s v="Assam"/>
    <s v="Guwahati"/>
    <x v="1"/>
    <x v="15"/>
    <x v="16"/>
    <n v="1"/>
    <x v="2"/>
    <n v="18.75"/>
    <s v="Corporate"/>
  </r>
  <r>
    <n v="1017"/>
    <d v="2024-01-17T00:00:00"/>
    <s v="Jan"/>
    <x v="1"/>
    <s v="Delhi"/>
    <s v="Delhi"/>
    <x v="1"/>
    <x v="16"/>
    <x v="17"/>
    <n v="5"/>
    <x v="14"/>
    <n v="30"/>
    <s v="Retail"/>
  </r>
  <r>
    <n v="1018"/>
    <d v="2024-01-18T00:00:00"/>
    <s v="Jan"/>
    <x v="2"/>
    <s v="Karnataka"/>
    <s v="Mysore"/>
    <x v="2"/>
    <x v="17"/>
    <x v="18"/>
    <n v="1"/>
    <x v="15"/>
    <n v="15.714285714285714"/>
    <s v="Corporate"/>
  </r>
  <r>
    <n v="1019"/>
    <d v="2024-01-19T00:00:00"/>
    <s v="Jan"/>
    <x v="3"/>
    <s v="Maharashtra"/>
    <s v="Pune"/>
    <x v="1"/>
    <x v="18"/>
    <x v="5"/>
    <n v="2"/>
    <x v="16"/>
    <n v="17.777777777777779"/>
    <s v="Corporate"/>
  </r>
  <r>
    <n v="1020"/>
    <d v="2024-01-20T00:00:00"/>
    <s v="Jan"/>
    <x v="4"/>
    <s v="West Bengal"/>
    <s v="Howrah"/>
    <x v="3"/>
    <x v="19"/>
    <x v="19"/>
    <n v="12"/>
    <x v="17"/>
    <n v="36"/>
    <s v="Retail"/>
  </r>
  <r>
    <n v="1021"/>
    <d v="2024-01-21T00:00:00"/>
    <s v="Jan"/>
    <x v="1"/>
    <s v="Uttarakhand"/>
    <s v="Dehradun"/>
    <x v="2"/>
    <x v="20"/>
    <x v="20"/>
    <n v="1"/>
    <x v="18"/>
    <n v="16.153846153846153"/>
    <s v="Corporate"/>
  </r>
  <r>
    <n v="1022"/>
    <d v="2024-01-22T00:00:00"/>
    <s v="Jan"/>
    <x v="2"/>
    <s v="Tamil Nadu"/>
    <s v="Coimbatore"/>
    <x v="1"/>
    <x v="21"/>
    <x v="21"/>
    <n v="4"/>
    <x v="4"/>
    <n v="21.428571428571427"/>
    <s v="Retail"/>
  </r>
  <r>
    <n v="1023"/>
    <d v="2024-01-23T00:00:00"/>
    <s v="Jan"/>
    <x v="3"/>
    <s v="Gujarat"/>
    <s v="Surat"/>
    <x v="1"/>
    <x v="22"/>
    <x v="22"/>
    <n v="6"/>
    <x v="13"/>
    <n v="26.666666666666668"/>
    <s v="Retail"/>
  </r>
  <r>
    <n v="1024"/>
    <d v="2024-01-24T00:00:00"/>
    <s v="Jan"/>
    <x v="4"/>
    <s v="Jharkhand"/>
    <s v="Ranchi"/>
    <x v="2"/>
    <x v="23"/>
    <x v="23"/>
    <n v="2"/>
    <x v="19"/>
    <n v="18.888888888888889"/>
    <s v="Retail"/>
  </r>
  <r>
    <n v="1025"/>
    <d v="2024-01-25T00:00:00"/>
    <s v="Jan"/>
    <x v="1"/>
    <s v="Uttar Pradesh"/>
    <s v="Kanpur"/>
    <x v="1"/>
    <x v="9"/>
    <x v="24"/>
    <n v="2"/>
    <x v="20"/>
    <n v="18.095238095238095"/>
    <s v="Corporate"/>
  </r>
  <r>
    <n v="1026"/>
    <d v="2024-01-26T00:00:00"/>
    <s v="Jan"/>
    <x v="2"/>
    <s v="Kerala"/>
    <s v="Trivandrum"/>
    <x v="3"/>
    <x v="4"/>
    <x v="25"/>
    <n v="10"/>
    <x v="21"/>
    <n v="29.166666666666668"/>
    <s v="Retail"/>
  </r>
  <r>
    <n v="1027"/>
    <d v="2024-01-27T00:00:00"/>
    <s v="Jan"/>
    <x v="3"/>
    <s v="Goa"/>
    <s v="Panjim"/>
    <x v="1"/>
    <x v="12"/>
    <x v="26"/>
    <n v="1"/>
    <x v="22"/>
    <n v="16.25"/>
    <s v="Retail"/>
  </r>
  <r>
    <n v="1028"/>
    <d v="2024-01-28T00:00:00"/>
    <s v="Jan"/>
    <x v="4"/>
    <s v="Bihar"/>
    <s v="Gaya"/>
    <x v="2"/>
    <x v="24"/>
    <x v="27"/>
    <n v="3"/>
    <x v="23"/>
    <n v="20"/>
    <s v="Retail"/>
  </r>
  <r>
    <n v="1029"/>
    <d v="2024-01-29T00:00:00"/>
    <s v="Jan"/>
    <x v="1"/>
    <s v="Rajasthan"/>
    <s v="Udaipur"/>
    <x v="2"/>
    <x v="25"/>
    <x v="28"/>
    <n v="1"/>
    <x v="24"/>
    <n v="16.315789473684212"/>
    <s v="Corporate"/>
  </r>
  <r>
    <n v="1030"/>
    <d v="2024-01-30T00:00:00"/>
    <s v="Jan"/>
    <x v="2"/>
    <s v="Andhra Pradesh"/>
    <s v="Vijayawada"/>
    <x v="1"/>
    <x v="7"/>
    <x v="29"/>
    <n v="2"/>
    <x v="25"/>
    <n v="19.090909090909093"/>
    <s v="Retail"/>
  </r>
  <r>
    <n v="1031"/>
    <d v="2024-01-31T00:00:00"/>
    <s v="Jan"/>
    <x v="3"/>
    <s v="Chhattisgarh"/>
    <s v="Raipur"/>
    <x v="1"/>
    <x v="15"/>
    <x v="30"/>
    <n v="1"/>
    <x v="8"/>
    <n v="16.470588235294116"/>
    <s v="Corporate"/>
  </r>
  <r>
    <n v="1032"/>
    <d v="2024-02-01T00:00:00"/>
    <s v="Feb"/>
    <x v="4"/>
    <s v="Odisha"/>
    <s v="Cuttack"/>
    <x v="3"/>
    <x v="26"/>
    <x v="31"/>
    <n v="20"/>
    <x v="26"/>
    <n v="35"/>
    <s v="Retail"/>
  </r>
  <r>
    <n v="1033"/>
    <d v="2024-02-02T00:00:00"/>
    <s v="Feb"/>
    <x v="1"/>
    <s v="Delhi"/>
    <s v="Delhi"/>
    <x v="2"/>
    <x v="23"/>
    <x v="32"/>
    <n v="2"/>
    <x v="27"/>
    <n v="16.842105263157894"/>
    <s v="Retail"/>
  </r>
  <r>
    <n v="1034"/>
    <d v="2024-02-03T00:00:00"/>
    <s v="Feb"/>
    <x v="2"/>
    <s v="Karnataka"/>
    <s v="Bangalore"/>
    <x v="1"/>
    <x v="3"/>
    <x v="33"/>
    <n v="1"/>
    <x v="28"/>
    <n v="14.166666666666666"/>
    <s v="Corporate"/>
  </r>
  <r>
    <n v="1035"/>
    <d v="2024-02-04T00:00:00"/>
    <s v="Feb"/>
    <x v="3"/>
    <s v="Maharashtra"/>
    <s v="Nagpur"/>
    <x v="1"/>
    <x v="9"/>
    <x v="34"/>
    <n v="2"/>
    <x v="29"/>
    <n v="17.894736842105264"/>
    <s v="Retail"/>
  </r>
  <r>
    <n v="1036"/>
    <d v="2024-02-05T00:00:00"/>
    <s v="Feb"/>
    <x v="4"/>
    <s v="West Bengal"/>
    <s v="Siliguri"/>
    <x v="2"/>
    <x v="27"/>
    <x v="30"/>
    <n v="1"/>
    <x v="2"/>
    <n v="17.647058823529413"/>
    <s v="Corporate"/>
  </r>
  <r>
    <n v="1037"/>
    <d v="2024-02-06T00:00:00"/>
    <s v="Feb"/>
    <x v="1"/>
    <s v="Punjab"/>
    <s v="Ludhiana"/>
    <x v="1"/>
    <x v="1"/>
    <x v="35"/>
    <n v="2"/>
    <x v="30"/>
    <n v="16.25"/>
    <s v="Retail"/>
  </r>
  <r>
    <n v="1038"/>
    <d v="2024-02-07T00:00:00"/>
    <s v="Feb"/>
    <x v="2"/>
    <s v="Tamil Nadu"/>
    <s v="Madurai"/>
    <x v="3"/>
    <x v="4"/>
    <x v="36"/>
    <n v="12"/>
    <x v="4"/>
    <n v="28.846153846153843"/>
    <s v="Retail"/>
  </r>
  <r>
    <n v="1039"/>
    <d v="2024-02-08T00:00:00"/>
    <s v="Feb"/>
    <x v="3"/>
    <s v="Gujarat"/>
    <s v="Vadodara"/>
    <x v="1"/>
    <x v="7"/>
    <x v="37"/>
    <n v="3"/>
    <x v="31"/>
    <n v="20"/>
    <s v="Retail"/>
  </r>
  <r>
    <n v="1040"/>
    <d v="2024-02-09T00:00:00"/>
    <s v="Feb"/>
    <x v="4"/>
    <s v="Assam"/>
    <s v="Tezpur"/>
    <x v="2"/>
    <x v="8"/>
    <x v="38"/>
    <n v="2"/>
    <x v="32"/>
    <n v="18.70967741935484"/>
    <s v="Corporate"/>
  </r>
  <r>
    <n v="1041"/>
    <d v="2024-02-10T00:00:00"/>
    <s v="Feb"/>
    <x v="1"/>
    <s v="Himachal Pradesh"/>
    <s v="Shimla"/>
    <x v="1"/>
    <x v="12"/>
    <x v="39"/>
    <n v="1"/>
    <x v="33"/>
    <n v="16.451612903225808"/>
    <s v="Retail"/>
  </r>
  <r>
    <n v="1042"/>
    <d v="2024-02-11T00:00:00"/>
    <s v="Feb"/>
    <x v="2"/>
    <s v="Kerala"/>
    <s v="Thrissur"/>
    <x v="2"/>
    <x v="17"/>
    <x v="40"/>
    <n v="1"/>
    <x v="34"/>
    <n v="15.555555555555555"/>
    <s v="Corporate"/>
  </r>
  <r>
    <n v="1043"/>
    <d v="2024-02-12T00:00:00"/>
    <s v="Feb"/>
    <x v="3"/>
    <s v="Rajasthan"/>
    <s v="Jodhpur"/>
    <x v="3"/>
    <x v="14"/>
    <x v="41"/>
    <n v="18"/>
    <x v="23"/>
    <n v="30.952380952380953"/>
    <s v="Retail"/>
  </r>
  <r>
    <n v="1044"/>
    <d v="2024-02-13T00:00:00"/>
    <s v="Feb"/>
    <x v="4"/>
    <s v="Jharkhand"/>
    <s v="Bokaro"/>
    <x v="1"/>
    <x v="18"/>
    <x v="42"/>
    <n v="2"/>
    <x v="2"/>
    <n v="17.142857142857142"/>
    <s v="Corporate"/>
  </r>
  <r>
    <n v="1045"/>
    <d v="2024-02-14T00:00:00"/>
    <s v="Feb"/>
    <x v="1"/>
    <s v="Haryana"/>
    <s v="Panipat"/>
    <x v="2"/>
    <x v="28"/>
    <x v="24"/>
    <n v="1"/>
    <x v="35"/>
    <n v="17.142857142857142"/>
    <s v="Corporate"/>
  </r>
  <r>
    <n v="1046"/>
    <d v="2024-02-15T00:00:00"/>
    <s v="Feb"/>
    <x v="2"/>
    <s v="Andhra Pradesh"/>
    <s v="Guntur"/>
    <x v="1"/>
    <x v="21"/>
    <x v="43"/>
    <n v="4"/>
    <x v="27"/>
    <n v="22.222222222222221"/>
    <s v="Retail"/>
  </r>
  <r>
    <n v="1047"/>
    <d v="2024-02-16T00:00:00"/>
    <s v="Feb"/>
    <x v="3"/>
    <s v="Madhya Pradesh"/>
    <s v="Bhopal"/>
    <x v="1"/>
    <x v="22"/>
    <x v="25"/>
    <n v="6"/>
    <x v="36"/>
    <n v="26.041666666666668"/>
    <s v="Retail"/>
  </r>
  <r>
    <n v="1048"/>
    <d v="2024-02-17T00:00:00"/>
    <s v="Feb"/>
    <x v="4"/>
    <s v="Bihar"/>
    <s v="Bhagalpur"/>
    <x v="2"/>
    <x v="23"/>
    <x v="44"/>
    <n v="2"/>
    <x v="37"/>
    <n v="18.75"/>
    <s v="Retail"/>
  </r>
  <r>
    <n v="1049"/>
    <d v="2024-02-18T00:00:00"/>
    <s v="Feb"/>
    <x v="1"/>
    <s v="Uttar Pradesh"/>
    <s v="Noida"/>
    <x v="1"/>
    <x v="9"/>
    <x v="45"/>
    <n v="2"/>
    <x v="30"/>
    <n v="17.333333333333336"/>
    <s v="Corporate"/>
  </r>
  <r>
    <n v="1050"/>
    <d v="2024-02-19T00:00:00"/>
    <s v="Feb"/>
    <x v="2"/>
    <s v="Karnataka"/>
    <s v="Udupi"/>
    <x v="3"/>
    <x v="10"/>
    <x v="46"/>
    <n v="14"/>
    <x v="38"/>
    <n v="31.428571428571427"/>
    <s v="Retail"/>
  </r>
  <r>
    <m/>
    <m/>
    <s v="Jan"/>
    <x v="5"/>
    <m/>
    <m/>
    <x v="4"/>
    <x v="29"/>
    <x v="47"/>
    <m/>
    <x v="39"/>
    <e v="#DI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655B9-C800-426D-A045-442EA01BC78A}" name="product-wise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32" firstHeaderRow="1" firstDataRow="1" firstDataCol="1"/>
  <pivotFields count="13">
    <pivotField showAll="0"/>
    <pivotField showAll="0"/>
    <pivotField showAll="0"/>
    <pivotField showAll="0"/>
    <pivotField showAll="0"/>
    <pivotField showAll="0"/>
    <pivotField showAll="0"/>
    <pivotField axis="axisRow" showAll="0">
      <items count="31">
        <item x="25"/>
        <item x="8"/>
        <item x="12"/>
        <item x="23"/>
        <item x="17"/>
        <item x="13"/>
        <item x="14"/>
        <item x="6"/>
        <item x="21"/>
        <item x="3"/>
        <item x="19"/>
        <item x="1"/>
        <item x="18"/>
        <item x="22"/>
        <item x="4"/>
        <item x="2"/>
        <item x="28"/>
        <item x="20"/>
        <item x="26"/>
        <item x="10"/>
        <item x="16"/>
        <item x="15"/>
        <item h="1" x="0"/>
        <item x="7"/>
        <item x="11"/>
        <item x="24"/>
        <item x="5"/>
        <item x="27"/>
        <item x="9"/>
        <item h="1" x="29"/>
        <item t="default"/>
      </items>
    </pivotField>
    <pivotField dataField="1" showAll="0"/>
    <pivotField showAll="0"/>
    <pivotField showAll="0"/>
    <pivotField showAll="0"/>
    <pivotField showAll="0"/>
  </pivotFields>
  <rowFields count="1">
    <field x="7"/>
  </rowFields>
  <rowItems count="29">
    <i>
      <x/>
    </i>
    <i>
      <x v="1"/>
    </i>
    <i>
      <x v="2"/>
    </i>
    <i>
      <x v="3"/>
    </i>
    <i>
      <x v="4"/>
    </i>
    <i>
      <x v="5"/>
    </i>
    <i>
      <x v="6"/>
    </i>
    <i>
      <x v="7"/>
    </i>
    <i>
      <x v="8"/>
    </i>
    <i>
      <x v="9"/>
    </i>
    <i>
      <x v="10"/>
    </i>
    <i>
      <x v="11"/>
    </i>
    <i>
      <x v="12"/>
    </i>
    <i>
      <x v="13"/>
    </i>
    <i>
      <x v="14"/>
    </i>
    <i>
      <x v="15"/>
    </i>
    <i>
      <x v="16"/>
    </i>
    <i>
      <x v="17"/>
    </i>
    <i>
      <x v="18"/>
    </i>
    <i>
      <x v="19"/>
    </i>
    <i>
      <x v="20"/>
    </i>
    <i>
      <x v="21"/>
    </i>
    <i>
      <x v="23"/>
    </i>
    <i>
      <x v="24"/>
    </i>
    <i>
      <x v="25"/>
    </i>
    <i>
      <x v="26"/>
    </i>
    <i>
      <x v="27"/>
    </i>
    <i>
      <x v="28"/>
    </i>
    <i t="grand">
      <x/>
    </i>
  </rowItems>
  <colItems count="1">
    <i/>
  </colItems>
  <dataFields count="1">
    <dataField name="Count of Sales" fld="8"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0E64C-8574-4244-B464-297A1165019C}" name="region-wise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
  <location ref="A3:B8" firstHeaderRow="1" firstDataRow="1" firstDataCol="1"/>
  <pivotFields count="13">
    <pivotField showAll="0"/>
    <pivotField showAll="0"/>
    <pivotField showAll="0"/>
    <pivotField axis="axisRow" showAll="0">
      <items count="7">
        <item x="4"/>
        <item x="1"/>
        <item h="1" x="0"/>
        <item x="2"/>
        <item x="3"/>
        <item h="1" x="5"/>
        <item t="default"/>
      </items>
    </pivotField>
    <pivotField showAll="0"/>
    <pivotField showAll="0"/>
    <pivotField showAll="0"/>
    <pivotField showAll="0"/>
    <pivotField dataField="1" showAll="0">
      <items count="49">
        <item x="31"/>
        <item x="19"/>
        <item x="10"/>
        <item x="46"/>
        <item x="15"/>
        <item x="41"/>
        <item x="22"/>
        <item x="25"/>
        <item x="4"/>
        <item x="36"/>
        <item x="17"/>
        <item x="27"/>
        <item x="21"/>
        <item x="43"/>
        <item x="6"/>
        <item x="44"/>
        <item x="23"/>
        <item x="32"/>
        <item x="29"/>
        <item x="7"/>
        <item x="37"/>
        <item x="8"/>
        <item x="2"/>
        <item x="38"/>
        <item x="16"/>
        <item x="30"/>
        <item x="42"/>
        <item x="5"/>
        <item x="34"/>
        <item x="9"/>
        <item x="24"/>
        <item x="14"/>
        <item x="45"/>
        <item x="35"/>
        <item x="1"/>
        <item x="20"/>
        <item x="12"/>
        <item x="39"/>
        <item x="26"/>
        <item x="18"/>
        <item x="40"/>
        <item x="28"/>
        <item x="11"/>
        <item x="3"/>
        <item x="13"/>
        <item x="33"/>
        <item x="0"/>
        <item x="47"/>
        <item t="default"/>
      </items>
    </pivotField>
    <pivotField showAll="0"/>
    <pivotField showAll="0"/>
    <pivotField showAll="0"/>
    <pivotField showAll="0"/>
  </pivotFields>
  <rowFields count="1">
    <field x="3"/>
  </rowFields>
  <rowItems count="5">
    <i>
      <x/>
    </i>
    <i>
      <x v="1"/>
    </i>
    <i>
      <x v="3"/>
    </i>
    <i>
      <x v="4"/>
    </i>
    <i t="grand">
      <x/>
    </i>
  </rowItems>
  <colItems count="1">
    <i/>
  </colItems>
  <dataFields count="1">
    <dataField name="Count of Sales" fld="8"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3" count="1" selected="0">
            <x v="0"/>
          </reference>
        </references>
      </pivotArea>
    </chartFormat>
    <chartFormat chart="21" format="12">
      <pivotArea type="data" outline="0" fieldPosition="0">
        <references count="2">
          <reference field="4294967294" count="1" selected="0">
            <x v="0"/>
          </reference>
          <reference field="3" count="1" selected="0">
            <x v="1"/>
          </reference>
        </references>
      </pivotArea>
    </chartFormat>
    <chartFormat chart="21" format="13">
      <pivotArea type="data" outline="0" fieldPosition="0">
        <references count="2">
          <reference field="4294967294" count="1" selected="0">
            <x v="0"/>
          </reference>
          <reference field="3" count="1" selected="0">
            <x v="3"/>
          </reference>
        </references>
      </pivotArea>
    </chartFormat>
    <chartFormat chart="21" format="1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9683D1-01DC-4F7D-9C89-15B6A3D22D2C}" name="category-wise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category">
  <location ref="A3:B7" firstHeaderRow="1" firstDataRow="1" firstDataCol="1"/>
  <pivotFields count="13">
    <pivotField showAll="0"/>
    <pivotField showAll="0"/>
    <pivotField showAll="0"/>
    <pivotField showAll="0"/>
    <pivotField showAll="0"/>
    <pivotField showAll="0"/>
    <pivotField axis="axisRow" showAll="0">
      <items count="6">
        <item x="1"/>
        <item x="2"/>
        <item h="1" x="0"/>
        <item x="3"/>
        <item h="1" x="4"/>
        <item t="default"/>
      </items>
    </pivotField>
    <pivotField showAll="0"/>
    <pivotField showAll="0"/>
    <pivotField showAll="0"/>
    <pivotField dataField="1" showAll="0"/>
    <pivotField showAll="0"/>
    <pivotField showAll="0"/>
  </pivotFields>
  <rowFields count="1">
    <field x="6"/>
  </rowFields>
  <rowItems count="4">
    <i>
      <x/>
    </i>
    <i>
      <x v="1"/>
    </i>
    <i>
      <x v="3"/>
    </i>
    <i t="grand">
      <x/>
    </i>
  </rowItems>
  <colItems count="1">
    <i/>
  </colItems>
  <dataFields count="1">
    <dataField name="Count of Profit" fld="10"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3"/>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0"/>
          </reference>
        </references>
      </pivotArea>
    </chartFormat>
    <chartFormat chart="11" format="10">
      <pivotArea type="data" outline="0" fieldPosition="0">
        <references count="2">
          <reference field="4294967294" count="1" selected="0">
            <x v="0"/>
          </reference>
          <reference field="6" count="1" selected="0">
            <x v="1"/>
          </reference>
        </references>
      </pivotArea>
    </chartFormat>
    <chartFormat chart="11"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BCF383-6735-4FB5-8F64-FF8815E9F032}" sourceName="Region">
  <pivotTables>
    <pivotTable tabId="5" name="region-wise sales"/>
  </pivotTables>
  <data>
    <tabular pivotCacheId="398262288">
      <items count="6">
        <i x="4" s="1"/>
        <i x="1" s="1"/>
        <i x="0"/>
        <i x="2" s="1"/>
        <i x="3"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D712F9C-602D-4CAD-8F2A-9DA3833CB21C}" sourceName="Product_Category">
  <pivotTables>
    <pivotTable tabId="6" name="category-wise profit"/>
  </pivotTables>
  <data>
    <tabular pivotCacheId="398262288">
      <items count="5">
        <i x="1" s="1"/>
        <i x="2" s="1"/>
        <i x="0"/>
        <i x="3"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ABE95C9-3F73-4045-9586-3EFFEBE34CE6}" sourceName="Product_Name">
  <pivotTables>
    <pivotTable tabId="7" name="product-wise sales"/>
  </pivotTables>
  <data>
    <tabular pivotCacheId="398262288">
      <items count="30">
        <i x="25" s="1"/>
        <i x="8" s="1"/>
        <i x="12" s="1"/>
        <i x="23" s="1"/>
        <i x="17" s="1"/>
        <i x="13" s="1"/>
        <i x="14" s="1"/>
        <i x="6" s="1"/>
        <i x="21" s="1"/>
        <i x="3" s="1"/>
        <i x="19" s="1"/>
        <i x="1" s="1"/>
        <i x="18" s="1"/>
        <i x="22" s="1"/>
        <i x="4" s="1"/>
        <i x="2" s="1"/>
        <i x="28" s="1"/>
        <i x="20" s="1"/>
        <i x="26" s="1"/>
        <i x="10" s="1"/>
        <i x="16" s="1"/>
        <i x="15" s="1"/>
        <i x="0"/>
        <i x="7" s="1"/>
        <i x="11" s="1"/>
        <i x="24" s="1"/>
        <i x="5" s="1"/>
        <i x="27" s="1"/>
        <i x="9" s="1"/>
        <i x="2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0BFF79-452F-40A7-A778-EED797BE32E8}" cache="Slicer_Region" caption="Region" startItem="2" style="SlicerStyleDark6" rowHeight="241300"/>
  <slicer name="Product_Category" xr10:uid="{0F6D2176-15DE-493F-ADA5-A2FEAA3119F0}" cache="Slicer_Product_Category" caption="Product_Category" style="SlicerStyleDark6" rowHeight="241300"/>
  <slicer name="Product_Name" xr10:uid="{37CE81BA-359B-4E82-A048-13D97024064C}" cache="Slicer_Product_Name" caption="Product_Nam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AC565-C4DF-41BB-8B5A-B57414177896}" name="Table1" displayName="Table1" ref="A1:M52" totalsRowShown="0">
  <autoFilter ref="A1:M52" xr:uid="{794AC565-C4DF-41BB-8B5A-B57414177896}">
    <filterColumn colId="0">
      <customFilters>
        <customFilter operator="notEqual" val=" "/>
      </customFilters>
    </filterColumn>
  </autoFilter>
  <tableColumns count="13">
    <tableColumn id="1" xr3:uid="{B3724E9F-2004-4221-96BA-4DD721C27D28}" name="Order_ID"/>
    <tableColumn id="2" xr3:uid="{988F1637-FC04-4958-B580-3074C4BB0F9F}" name="Order_Date" dataDxfId="2"/>
    <tableColumn id="16" xr3:uid="{38D9299D-CBA3-4C93-B809-214980CEF9A6}" name="month" dataDxfId="1">
      <calculatedColumnFormula>TEXT(Table1[[#This Row],[Order_Date]],"MMM")</calculatedColumnFormula>
    </tableColumn>
    <tableColumn id="3" xr3:uid="{2D7EB743-48F1-472C-B18E-66775712B2FA}" name="Region"/>
    <tableColumn id="4" xr3:uid="{6C78F373-4067-4225-A825-3D4E144F0D9C}" name="State"/>
    <tableColumn id="5" xr3:uid="{C2DD3D90-CF4C-49DA-A617-81E2717071DF}" name="City"/>
    <tableColumn id="6" xr3:uid="{6E239723-CD72-4955-A0AC-C5EA8DA2921B}" name="Product_Category"/>
    <tableColumn id="7" xr3:uid="{C06D0DAC-038D-406D-BD90-C0AB0D05CA51}" name="Product_Name"/>
    <tableColumn id="8" xr3:uid="{C33D7C0C-15DB-4F5D-9EC1-6951798D2ED2}" name="Sales"/>
    <tableColumn id="9" xr3:uid="{7635CB11-D574-4FF0-A6B6-B39040F233F6}" name="Quantity"/>
    <tableColumn id="10" xr3:uid="{8F44BDF8-27C6-4B75-8EF9-1129040EA1AE}" name="Profit"/>
    <tableColumn id="17" xr3:uid="{DD3DDA51-A73B-4B35-9835-12782AF19138}" name="profit %" dataDxfId="0">
      <calculatedColumnFormula>Table1[[#This Row],[Profit]]/Table1[[#This Row],[Sales]]*100</calculatedColumnFormula>
    </tableColumn>
    <tableColumn id="11" xr3:uid="{ABC27F89-2703-42E3-84F2-70ED38985100}" name="Customer_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0037-5BDD-482E-B033-9F1E61975BF1}">
  <dimension ref="A3:B32"/>
  <sheetViews>
    <sheetView workbookViewId="0">
      <selection activeCell="Q17" sqref="Q17"/>
    </sheetView>
  </sheetViews>
  <sheetFormatPr defaultRowHeight="15" x14ac:dyDescent="0.25"/>
  <cols>
    <col min="1" max="1" width="13.5703125" bestFit="1" customWidth="1"/>
    <col min="2" max="2" width="13.7109375" bestFit="1" customWidth="1"/>
  </cols>
  <sheetData>
    <row r="3" spans="1:2" x14ac:dyDescent="0.25">
      <c r="A3" s="3" t="s">
        <v>118</v>
      </c>
      <c r="B3" t="s">
        <v>120</v>
      </c>
    </row>
    <row r="4" spans="1:2" x14ac:dyDescent="0.25">
      <c r="A4" s="4" t="s">
        <v>90</v>
      </c>
      <c r="B4">
        <v>1</v>
      </c>
    </row>
    <row r="5" spans="1:2" x14ac:dyDescent="0.25">
      <c r="A5" s="4" t="s">
        <v>42</v>
      </c>
      <c r="B5">
        <v>2</v>
      </c>
    </row>
    <row r="6" spans="1:2" x14ac:dyDescent="0.25">
      <c r="A6" s="4" t="s">
        <v>54</v>
      </c>
      <c r="B6">
        <v>3</v>
      </c>
    </row>
    <row r="7" spans="1:2" x14ac:dyDescent="0.25">
      <c r="A7" s="4" t="s">
        <v>82</v>
      </c>
      <c r="B7">
        <v>3</v>
      </c>
    </row>
    <row r="8" spans="1:2" x14ac:dyDescent="0.25">
      <c r="A8" s="4" t="s">
        <v>68</v>
      </c>
      <c r="B8">
        <v>2</v>
      </c>
    </row>
    <row r="9" spans="1:2" x14ac:dyDescent="0.25">
      <c r="A9" s="4" t="s">
        <v>59</v>
      </c>
      <c r="B9">
        <v>1</v>
      </c>
    </row>
    <row r="10" spans="1:2" x14ac:dyDescent="0.25">
      <c r="A10" s="4" t="s">
        <v>62</v>
      </c>
      <c r="B10">
        <v>2</v>
      </c>
    </row>
    <row r="11" spans="1:2" x14ac:dyDescent="0.25">
      <c r="A11" s="4" t="s">
        <v>36</v>
      </c>
      <c r="B11">
        <v>1</v>
      </c>
    </row>
    <row r="12" spans="1:2" x14ac:dyDescent="0.25">
      <c r="A12" s="4" t="s">
        <v>77</v>
      </c>
      <c r="B12">
        <v>2</v>
      </c>
    </row>
    <row r="13" spans="1:2" x14ac:dyDescent="0.25">
      <c r="A13" s="4" t="s">
        <v>25</v>
      </c>
      <c r="B13">
        <v>3</v>
      </c>
    </row>
    <row r="14" spans="1:2" x14ac:dyDescent="0.25">
      <c r="A14" s="4" t="s">
        <v>72</v>
      </c>
      <c r="B14">
        <v>1</v>
      </c>
    </row>
    <row r="15" spans="1:2" x14ac:dyDescent="0.25">
      <c r="A15" s="4" t="s">
        <v>14</v>
      </c>
      <c r="B15">
        <v>2</v>
      </c>
    </row>
    <row r="16" spans="1:2" x14ac:dyDescent="0.25">
      <c r="A16" s="4" t="s">
        <v>70</v>
      </c>
      <c r="B16">
        <v>2</v>
      </c>
    </row>
    <row r="17" spans="1:2" x14ac:dyDescent="0.25">
      <c r="A17" s="4" t="s">
        <v>79</v>
      </c>
      <c r="B17">
        <v>2</v>
      </c>
    </row>
    <row r="18" spans="1:2" x14ac:dyDescent="0.25">
      <c r="A18" s="4" t="s">
        <v>30</v>
      </c>
      <c r="B18">
        <v>3</v>
      </c>
    </row>
    <row r="19" spans="1:2" x14ac:dyDescent="0.25">
      <c r="A19" s="4" t="s">
        <v>20</v>
      </c>
      <c r="B19">
        <v>1</v>
      </c>
    </row>
    <row r="20" spans="1:2" x14ac:dyDescent="0.25">
      <c r="A20" s="4" t="s">
        <v>110</v>
      </c>
      <c r="B20">
        <v>1</v>
      </c>
    </row>
    <row r="21" spans="1:2" x14ac:dyDescent="0.25">
      <c r="A21" s="4" t="s">
        <v>75</v>
      </c>
      <c r="B21">
        <v>1</v>
      </c>
    </row>
    <row r="22" spans="1:2" x14ac:dyDescent="0.25">
      <c r="A22" s="4" t="s">
        <v>96</v>
      </c>
      <c r="B22">
        <v>1</v>
      </c>
    </row>
    <row r="23" spans="1:2" x14ac:dyDescent="0.25">
      <c r="A23" s="4" t="s">
        <v>48</v>
      </c>
      <c r="B23">
        <v>2</v>
      </c>
    </row>
    <row r="24" spans="1:2" x14ac:dyDescent="0.25">
      <c r="A24" s="4" t="s">
        <v>66</v>
      </c>
      <c r="B24">
        <v>1</v>
      </c>
    </row>
    <row r="25" spans="1:2" x14ac:dyDescent="0.25">
      <c r="A25" s="4" t="s">
        <v>65</v>
      </c>
      <c r="B25">
        <v>2</v>
      </c>
    </row>
    <row r="26" spans="1:2" x14ac:dyDescent="0.25">
      <c r="A26" s="4" t="s">
        <v>39</v>
      </c>
      <c r="B26">
        <v>3</v>
      </c>
    </row>
    <row r="27" spans="1:2" x14ac:dyDescent="0.25">
      <c r="A27" s="4" t="s">
        <v>51</v>
      </c>
      <c r="B27">
        <v>1</v>
      </c>
    </row>
    <row r="28" spans="1:2" x14ac:dyDescent="0.25">
      <c r="A28" s="4" t="s">
        <v>88</v>
      </c>
      <c r="B28">
        <v>1</v>
      </c>
    </row>
    <row r="29" spans="1:2" x14ac:dyDescent="0.25">
      <c r="A29" s="4" t="s">
        <v>33</v>
      </c>
      <c r="B29">
        <v>1</v>
      </c>
    </row>
    <row r="30" spans="1:2" x14ac:dyDescent="0.25">
      <c r="A30" s="4" t="s">
        <v>99</v>
      </c>
      <c r="B30">
        <v>1</v>
      </c>
    </row>
    <row r="31" spans="1:2" x14ac:dyDescent="0.25">
      <c r="A31" s="4" t="s">
        <v>45</v>
      </c>
      <c r="B31">
        <v>4</v>
      </c>
    </row>
    <row r="32" spans="1:2" x14ac:dyDescent="0.25">
      <c r="A32" s="4" t="s">
        <v>119</v>
      </c>
      <c r="B32">
        <v>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AA3C-2DC7-4197-A521-33860563257C}">
  <dimension ref="A3:B8"/>
  <sheetViews>
    <sheetView workbookViewId="0">
      <selection activeCell="A8" sqref="A8"/>
    </sheetView>
  </sheetViews>
  <sheetFormatPr defaultRowHeight="15" x14ac:dyDescent="0.25"/>
  <cols>
    <col min="1" max="1" width="11.28515625" bestFit="1" customWidth="1"/>
    <col min="2" max="2" width="13.7109375" bestFit="1" customWidth="1"/>
  </cols>
  <sheetData>
    <row r="3" spans="1:2" x14ac:dyDescent="0.25">
      <c r="A3" s="3" t="s">
        <v>123</v>
      </c>
      <c r="B3" t="s">
        <v>120</v>
      </c>
    </row>
    <row r="4" spans="1:2" x14ac:dyDescent="0.25">
      <c r="A4" s="4" t="s">
        <v>26</v>
      </c>
      <c r="B4">
        <v>12</v>
      </c>
    </row>
    <row r="5" spans="1:2" x14ac:dyDescent="0.25">
      <c r="A5" s="4" t="s">
        <v>11</v>
      </c>
      <c r="B5">
        <v>13</v>
      </c>
    </row>
    <row r="6" spans="1:2" x14ac:dyDescent="0.25">
      <c r="A6" s="4" t="s">
        <v>16</v>
      </c>
      <c r="B6">
        <v>13</v>
      </c>
    </row>
    <row r="7" spans="1:2" x14ac:dyDescent="0.25">
      <c r="A7" s="4" t="s">
        <v>22</v>
      </c>
      <c r="B7">
        <v>12</v>
      </c>
    </row>
    <row r="8" spans="1:2" x14ac:dyDescent="0.25">
      <c r="A8" s="4" t="s">
        <v>119</v>
      </c>
      <c r="B8">
        <v>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5B84-EC49-4864-942D-30FDB5729CCB}">
  <dimension ref="A3:B7"/>
  <sheetViews>
    <sheetView workbookViewId="0">
      <selection activeCell="M16" sqref="M16"/>
    </sheetView>
  </sheetViews>
  <sheetFormatPr defaultRowHeight="15" x14ac:dyDescent="0.25"/>
  <cols>
    <col min="1" max="1" width="18.28515625" bestFit="1" customWidth="1"/>
    <col min="2" max="2" width="14.140625" bestFit="1" customWidth="1"/>
  </cols>
  <sheetData>
    <row r="3" spans="1:2" x14ac:dyDescent="0.25">
      <c r="A3" s="3" t="s">
        <v>122</v>
      </c>
      <c r="B3" t="s">
        <v>121</v>
      </c>
    </row>
    <row r="4" spans="1:2" x14ac:dyDescent="0.25">
      <c r="A4" s="4" t="s">
        <v>13</v>
      </c>
      <c r="B4">
        <v>25</v>
      </c>
    </row>
    <row r="5" spans="1:2" x14ac:dyDescent="0.25">
      <c r="A5" s="4" t="s">
        <v>19</v>
      </c>
      <c r="B5">
        <v>16</v>
      </c>
    </row>
    <row r="6" spans="1:2" x14ac:dyDescent="0.25">
      <c r="A6" s="4" t="s">
        <v>29</v>
      </c>
      <c r="B6">
        <v>9</v>
      </c>
    </row>
    <row r="7" spans="1:2" x14ac:dyDescent="0.25">
      <c r="A7" s="4" t="s">
        <v>119</v>
      </c>
      <c r="B7">
        <v>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C766-C2C1-4D2D-9F98-64F3C9E8F648}">
  <dimension ref="A1:M52"/>
  <sheetViews>
    <sheetView topLeftCell="C38" workbookViewId="0">
      <selection activeCell="H16" sqref="H16"/>
    </sheetView>
  </sheetViews>
  <sheetFormatPr defaultRowHeight="15" x14ac:dyDescent="0.25"/>
  <cols>
    <col min="1" max="1" width="16.42578125" customWidth="1"/>
    <col min="2" max="3" width="14.7109375" customWidth="1"/>
    <col min="4" max="4" width="15.7109375" customWidth="1"/>
    <col min="5" max="5" width="20.42578125" customWidth="1"/>
    <col min="6" max="6" width="16.140625" customWidth="1"/>
    <col min="7" max="7" width="19.5703125" customWidth="1"/>
    <col min="8" max="8" width="18" customWidth="1"/>
    <col min="9" max="9" width="15.5703125" customWidth="1"/>
    <col min="10" max="10" width="10.85546875" customWidth="1"/>
    <col min="11" max="12" width="14.28515625" customWidth="1"/>
    <col min="13" max="13" width="17" customWidth="1"/>
  </cols>
  <sheetData>
    <row r="1" spans="1:13" x14ac:dyDescent="0.25">
      <c r="A1" t="s">
        <v>0</v>
      </c>
      <c r="B1" t="s">
        <v>1</v>
      </c>
      <c r="C1" t="s">
        <v>116</v>
      </c>
      <c r="D1" t="s">
        <v>2</v>
      </c>
      <c r="E1" t="s">
        <v>3</v>
      </c>
      <c r="F1" t="s">
        <v>4</v>
      </c>
      <c r="G1" t="s">
        <v>5</v>
      </c>
      <c r="H1" t="s">
        <v>6</v>
      </c>
      <c r="I1" t="s">
        <v>7</v>
      </c>
      <c r="J1" t="s">
        <v>8</v>
      </c>
      <c r="K1" t="s">
        <v>9</v>
      </c>
      <c r="L1" t="s">
        <v>117</v>
      </c>
      <c r="M1" t="s">
        <v>10</v>
      </c>
    </row>
    <row r="2" spans="1:13" x14ac:dyDescent="0.25">
      <c r="A2">
        <v>1001</v>
      </c>
      <c r="B2" s="1">
        <v>45292</v>
      </c>
      <c r="C2" s="1" t="str">
        <f>TEXT(Table1[[#This Row],[Order_Date]],"MMM")</f>
        <v>Jan</v>
      </c>
      <c r="D2" t="s">
        <v>11</v>
      </c>
      <c r="E2" t="s">
        <v>12</v>
      </c>
      <c r="F2" t="s">
        <v>12</v>
      </c>
      <c r="G2" t="s">
        <v>13</v>
      </c>
      <c r="H2" t="s">
        <v>14</v>
      </c>
      <c r="I2">
        <v>25000</v>
      </c>
      <c r="J2">
        <v>2</v>
      </c>
      <c r="K2">
        <v>4000</v>
      </c>
      <c r="L2" s="2">
        <f>Table1[[#This Row],[Profit]]/Table1[[#This Row],[Sales]]*100</f>
        <v>16</v>
      </c>
      <c r="M2" t="s">
        <v>15</v>
      </c>
    </row>
    <row r="3" spans="1:13" x14ac:dyDescent="0.25">
      <c r="A3">
        <v>1002</v>
      </c>
      <c r="B3" s="1">
        <v>45293</v>
      </c>
      <c r="C3" s="1" t="str">
        <f>TEXT(Table1[[#This Row],[Order_Date]],"MMM")</f>
        <v>Jan</v>
      </c>
      <c r="D3" t="s">
        <v>16</v>
      </c>
      <c r="E3" t="s">
        <v>17</v>
      </c>
      <c r="F3" t="s">
        <v>18</v>
      </c>
      <c r="G3" t="s">
        <v>19</v>
      </c>
      <c r="H3" t="s">
        <v>20</v>
      </c>
      <c r="I3">
        <v>15000</v>
      </c>
      <c r="J3">
        <v>3</v>
      </c>
      <c r="K3">
        <v>3000</v>
      </c>
      <c r="L3" s="2">
        <f>Table1[[#This Row],[Profit]]/Table1[[#This Row],[Sales]]*100</f>
        <v>20</v>
      </c>
      <c r="M3" t="s">
        <v>21</v>
      </c>
    </row>
    <row r="4" spans="1:13" x14ac:dyDescent="0.25">
      <c r="A4">
        <v>1003</v>
      </c>
      <c r="B4" s="1">
        <v>45294</v>
      </c>
      <c r="C4" s="1" t="str">
        <f>TEXT(Table1[[#This Row],[Order_Date]],"MMM")</f>
        <v>Jan</v>
      </c>
      <c r="D4" t="s">
        <v>22</v>
      </c>
      <c r="E4" t="s">
        <v>23</v>
      </c>
      <c r="F4" t="s">
        <v>24</v>
      </c>
      <c r="G4" t="s">
        <v>13</v>
      </c>
      <c r="H4" t="s">
        <v>25</v>
      </c>
      <c r="I4">
        <v>55000</v>
      </c>
      <c r="J4">
        <v>1</v>
      </c>
      <c r="K4">
        <v>7000</v>
      </c>
      <c r="L4" s="2">
        <f>Table1[[#This Row],[Profit]]/Table1[[#This Row],[Sales]]*100</f>
        <v>12.727272727272727</v>
      </c>
      <c r="M4" t="s">
        <v>21</v>
      </c>
    </row>
    <row r="5" spans="1:13" x14ac:dyDescent="0.25">
      <c r="A5">
        <v>1004</v>
      </c>
      <c r="B5" s="1">
        <v>45295</v>
      </c>
      <c r="C5" s="1" t="str">
        <f>TEXT(Table1[[#This Row],[Order_Date]],"MMM")</f>
        <v>Jan</v>
      </c>
      <c r="D5" t="s">
        <v>26</v>
      </c>
      <c r="E5" t="s">
        <v>27</v>
      </c>
      <c r="F5" t="s">
        <v>28</v>
      </c>
      <c r="G5" t="s">
        <v>29</v>
      </c>
      <c r="H5" t="s">
        <v>30</v>
      </c>
      <c r="I5">
        <v>5000</v>
      </c>
      <c r="J5">
        <v>10</v>
      </c>
      <c r="K5">
        <v>1500</v>
      </c>
      <c r="L5" s="2">
        <f>Table1[[#This Row],[Profit]]/Table1[[#This Row],[Sales]]*100</f>
        <v>30</v>
      </c>
      <c r="M5" t="s">
        <v>15</v>
      </c>
    </row>
    <row r="6" spans="1:13" x14ac:dyDescent="0.25">
      <c r="A6">
        <v>1005</v>
      </c>
      <c r="B6" s="1">
        <v>45296</v>
      </c>
      <c r="C6" s="1" t="str">
        <f>TEXT(Table1[[#This Row],[Order_Date]],"MMM")</f>
        <v>Jan</v>
      </c>
      <c r="D6" t="s">
        <v>11</v>
      </c>
      <c r="E6" t="s">
        <v>31</v>
      </c>
      <c r="F6" t="s">
        <v>32</v>
      </c>
      <c r="G6" t="s">
        <v>19</v>
      </c>
      <c r="H6" t="s">
        <v>33</v>
      </c>
      <c r="I6">
        <v>18000</v>
      </c>
      <c r="J6">
        <v>2</v>
      </c>
      <c r="K6">
        <v>3500</v>
      </c>
      <c r="L6" s="2">
        <f>Table1[[#This Row],[Profit]]/Table1[[#This Row],[Sales]]*100</f>
        <v>19.444444444444446</v>
      </c>
      <c r="M6" t="s">
        <v>15</v>
      </c>
    </row>
    <row r="7" spans="1:13" x14ac:dyDescent="0.25">
      <c r="A7">
        <v>1006</v>
      </c>
      <c r="B7" s="1">
        <v>45297</v>
      </c>
      <c r="C7" s="1" t="str">
        <f>TEXT(Table1[[#This Row],[Order_Date]],"MMM")</f>
        <v>Jan</v>
      </c>
      <c r="D7" t="s">
        <v>16</v>
      </c>
      <c r="E7" t="s">
        <v>34</v>
      </c>
      <c r="F7" t="s">
        <v>35</v>
      </c>
      <c r="G7" t="s">
        <v>13</v>
      </c>
      <c r="H7" t="s">
        <v>36</v>
      </c>
      <c r="I7">
        <v>8000</v>
      </c>
      <c r="J7">
        <v>4</v>
      </c>
      <c r="K7">
        <v>2000</v>
      </c>
      <c r="L7" s="2">
        <f>Table1[[#This Row],[Profit]]/Table1[[#This Row],[Sales]]*100</f>
        <v>25</v>
      </c>
      <c r="M7" t="s">
        <v>15</v>
      </c>
    </row>
    <row r="8" spans="1:13" x14ac:dyDescent="0.25">
      <c r="A8">
        <v>1007</v>
      </c>
      <c r="B8" s="1">
        <v>45298</v>
      </c>
      <c r="C8" s="1" t="str">
        <f>TEXT(Table1[[#This Row],[Order_Date]],"MMM")</f>
        <v>Jan</v>
      </c>
      <c r="D8" t="s">
        <v>22</v>
      </c>
      <c r="E8" t="s">
        <v>37</v>
      </c>
      <c r="F8" t="s">
        <v>38</v>
      </c>
      <c r="G8" t="s">
        <v>13</v>
      </c>
      <c r="H8" t="s">
        <v>39</v>
      </c>
      <c r="I8">
        <v>12000</v>
      </c>
      <c r="J8">
        <v>3</v>
      </c>
      <c r="K8">
        <v>2500</v>
      </c>
      <c r="L8" s="2">
        <f>Table1[[#This Row],[Profit]]/Table1[[#This Row],[Sales]]*100</f>
        <v>20.833333333333336</v>
      </c>
      <c r="M8" t="s">
        <v>15</v>
      </c>
    </row>
    <row r="9" spans="1:13" x14ac:dyDescent="0.25">
      <c r="A9">
        <v>1008</v>
      </c>
      <c r="B9" s="1">
        <v>45299</v>
      </c>
      <c r="C9" s="1" t="str">
        <f>TEXT(Table1[[#This Row],[Order_Date]],"MMM")</f>
        <v>Jan</v>
      </c>
      <c r="D9" t="s">
        <v>26</v>
      </c>
      <c r="E9" t="s">
        <v>40</v>
      </c>
      <c r="F9" t="s">
        <v>41</v>
      </c>
      <c r="G9" t="s">
        <v>19</v>
      </c>
      <c r="H9" t="s">
        <v>42</v>
      </c>
      <c r="I9">
        <v>14000</v>
      </c>
      <c r="J9">
        <v>2</v>
      </c>
      <c r="K9">
        <v>2800</v>
      </c>
      <c r="L9" s="2">
        <f>Table1[[#This Row],[Profit]]/Table1[[#This Row],[Sales]]*100</f>
        <v>20</v>
      </c>
      <c r="M9" t="s">
        <v>21</v>
      </c>
    </row>
    <row r="10" spans="1:13" x14ac:dyDescent="0.25">
      <c r="A10">
        <v>1009</v>
      </c>
      <c r="B10" s="1">
        <v>45300</v>
      </c>
      <c r="C10" s="1" t="str">
        <f>TEXT(Table1[[#This Row],[Order_Date]],"MMM")</f>
        <v>Jan</v>
      </c>
      <c r="D10" t="s">
        <v>11</v>
      </c>
      <c r="E10" t="s">
        <v>43</v>
      </c>
      <c r="F10" t="s">
        <v>44</v>
      </c>
      <c r="G10" t="s">
        <v>13</v>
      </c>
      <c r="H10" t="s">
        <v>45</v>
      </c>
      <c r="I10">
        <v>20000</v>
      </c>
      <c r="J10">
        <v>2</v>
      </c>
      <c r="K10">
        <v>3500</v>
      </c>
      <c r="L10" s="2">
        <f>Table1[[#This Row],[Profit]]/Table1[[#This Row],[Sales]]*100</f>
        <v>17.5</v>
      </c>
      <c r="M10" t="s">
        <v>21</v>
      </c>
    </row>
    <row r="11" spans="1:13" x14ac:dyDescent="0.25">
      <c r="A11">
        <v>1010</v>
      </c>
      <c r="B11" s="1">
        <v>45301</v>
      </c>
      <c r="C11" s="1" t="str">
        <f>TEXT(Table1[[#This Row],[Order_Date]],"MMM")</f>
        <v>Jan</v>
      </c>
      <c r="D11" t="s">
        <v>16</v>
      </c>
      <c r="E11" t="s">
        <v>46</v>
      </c>
      <c r="F11" t="s">
        <v>47</v>
      </c>
      <c r="G11" t="s">
        <v>29</v>
      </c>
      <c r="H11" t="s">
        <v>48</v>
      </c>
      <c r="I11">
        <v>3000</v>
      </c>
      <c r="J11">
        <v>15</v>
      </c>
      <c r="K11">
        <v>1000</v>
      </c>
      <c r="L11" s="2">
        <f>Table1[[#This Row],[Profit]]/Table1[[#This Row],[Sales]]*100</f>
        <v>33.333333333333329</v>
      </c>
      <c r="M11" t="s">
        <v>15</v>
      </c>
    </row>
    <row r="12" spans="1:13" x14ac:dyDescent="0.25">
      <c r="A12">
        <v>1011</v>
      </c>
      <c r="B12" s="1">
        <v>45302</v>
      </c>
      <c r="C12" s="1" t="str">
        <f>TEXT(Table1[[#This Row],[Order_Date]],"MMM")</f>
        <v>Jan</v>
      </c>
      <c r="D12" t="s">
        <v>22</v>
      </c>
      <c r="E12" t="s">
        <v>49</v>
      </c>
      <c r="F12" t="s">
        <v>50</v>
      </c>
      <c r="G12" t="s">
        <v>19</v>
      </c>
      <c r="H12" t="s">
        <v>51</v>
      </c>
      <c r="I12">
        <v>42000</v>
      </c>
      <c r="J12">
        <v>1</v>
      </c>
      <c r="K12">
        <v>6000</v>
      </c>
      <c r="L12" s="2">
        <f>Table1[[#This Row],[Profit]]/Table1[[#This Row],[Sales]]*100</f>
        <v>14.285714285714285</v>
      </c>
      <c r="M12" t="s">
        <v>21</v>
      </c>
    </row>
    <row r="13" spans="1:13" x14ac:dyDescent="0.25">
      <c r="A13">
        <v>1012</v>
      </c>
      <c r="B13" s="1">
        <v>45303</v>
      </c>
      <c r="C13" s="1" t="str">
        <f>TEXT(Table1[[#This Row],[Order_Date]],"MMM")</f>
        <v>Jan</v>
      </c>
      <c r="D13" t="s">
        <v>26</v>
      </c>
      <c r="E13" t="s">
        <v>52</v>
      </c>
      <c r="F13" t="s">
        <v>53</v>
      </c>
      <c r="G13" t="s">
        <v>13</v>
      </c>
      <c r="H13" t="s">
        <v>54</v>
      </c>
      <c r="I13">
        <v>30000</v>
      </c>
      <c r="J13">
        <v>1</v>
      </c>
      <c r="K13">
        <v>5000</v>
      </c>
      <c r="L13" s="2">
        <f>Table1[[#This Row],[Profit]]/Table1[[#This Row],[Sales]]*100</f>
        <v>16.666666666666664</v>
      </c>
      <c r="M13" t="s">
        <v>15</v>
      </c>
    </row>
    <row r="14" spans="1:13" x14ac:dyDescent="0.25">
      <c r="A14">
        <v>1013</v>
      </c>
      <c r="B14" s="1">
        <v>45304</v>
      </c>
      <c r="C14" s="1" t="str">
        <f>TEXT(Table1[[#This Row],[Order_Date]],"MMM")</f>
        <v>Jan</v>
      </c>
      <c r="D14" t="s">
        <v>11</v>
      </c>
      <c r="E14" t="s">
        <v>55</v>
      </c>
      <c r="F14" t="s">
        <v>56</v>
      </c>
      <c r="G14" t="s">
        <v>13</v>
      </c>
      <c r="H14" t="s">
        <v>25</v>
      </c>
      <c r="I14">
        <v>58000</v>
      </c>
      <c r="J14">
        <v>1</v>
      </c>
      <c r="K14">
        <v>8000</v>
      </c>
      <c r="L14" s="2">
        <f>Table1[[#This Row],[Profit]]/Table1[[#This Row],[Sales]]*100</f>
        <v>13.793103448275861</v>
      </c>
      <c r="M14" t="s">
        <v>21</v>
      </c>
    </row>
    <row r="15" spans="1:13" x14ac:dyDescent="0.25">
      <c r="A15">
        <v>1014</v>
      </c>
      <c r="B15" s="1">
        <v>45305</v>
      </c>
      <c r="C15" s="1" t="str">
        <f>TEXT(Table1[[#This Row],[Order_Date]],"MMM")</f>
        <v>Jan</v>
      </c>
      <c r="D15" t="s">
        <v>16</v>
      </c>
      <c r="E15" t="s">
        <v>57</v>
      </c>
      <c r="F15" t="s">
        <v>58</v>
      </c>
      <c r="G15" t="s">
        <v>19</v>
      </c>
      <c r="H15" t="s">
        <v>59</v>
      </c>
      <c r="I15">
        <v>22000</v>
      </c>
      <c r="J15">
        <v>2</v>
      </c>
      <c r="K15">
        <v>4000</v>
      </c>
      <c r="L15" s="2">
        <f>Table1[[#This Row],[Profit]]/Table1[[#This Row],[Sales]]*100</f>
        <v>18.181818181818183</v>
      </c>
      <c r="M15" t="s">
        <v>21</v>
      </c>
    </row>
    <row r="16" spans="1:13" x14ac:dyDescent="0.25">
      <c r="A16">
        <v>1015</v>
      </c>
      <c r="B16" s="1">
        <v>45306</v>
      </c>
      <c r="C16" s="1" t="str">
        <f>TEXT(Table1[[#This Row],[Order_Date]],"MMM")</f>
        <v>Jan</v>
      </c>
      <c r="D16" t="s">
        <v>22</v>
      </c>
      <c r="E16" t="s">
        <v>60</v>
      </c>
      <c r="F16" t="s">
        <v>61</v>
      </c>
      <c r="G16" t="s">
        <v>29</v>
      </c>
      <c r="H16" t="s">
        <v>62</v>
      </c>
      <c r="I16">
        <v>4000</v>
      </c>
      <c r="J16">
        <v>20</v>
      </c>
      <c r="K16">
        <v>1200</v>
      </c>
      <c r="L16" s="2">
        <f>Table1[[#This Row],[Profit]]/Table1[[#This Row],[Sales]]*100</f>
        <v>30</v>
      </c>
      <c r="M16" t="s">
        <v>15</v>
      </c>
    </row>
    <row r="17" spans="1:13" x14ac:dyDescent="0.25">
      <c r="A17">
        <v>1016</v>
      </c>
      <c r="B17" s="1">
        <v>45307</v>
      </c>
      <c r="C17" s="1" t="str">
        <f>TEXT(Table1[[#This Row],[Order_Date]],"MMM")</f>
        <v>Jan</v>
      </c>
      <c r="D17" t="s">
        <v>26</v>
      </c>
      <c r="E17" t="s">
        <v>63</v>
      </c>
      <c r="F17" t="s">
        <v>64</v>
      </c>
      <c r="G17" t="s">
        <v>13</v>
      </c>
      <c r="H17" t="s">
        <v>65</v>
      </c>
      <c r="I17">
        <v>16000</v>
      </c>
      <c r="J17">
        <v>1</v>
      </c>
      <c r="K17">
        <v>3000</v>
      </c>
      <c r="L17" s="2">
        <f>Table1[[#This Row],[Profit]]/Table1[[#This Row],[Sales]]*100</f>
        <v>18.75</v>
      </c>
      <c r="M17" t="s">
        <v>21</v>
      </c>
    </row>
    <row r="18" spans="1:13" x14ac:dyDescent="0.25">
      <c r="A18">
        <v>1017</v>
      </c>
      <c r="B18" s="1">
        <v>45308</v>
      </c>
      <c r="C18" s="1" t="str">
        <f>TEXT(Table1[[#This Row],[Order_Date]],"MMM")</f>
        <v>Jan</v>
      </c>
      <c r="D18" t="s">
        <v>11</v>
      </c>
      <c r="E18" t="s">
        <v>12</v>
      </c>
      <c r="F18" t="s">
        <v>12</v>
      </c>
      <c r="G18" t="s">
        <v>13</v>
      </c>
      <c r="H18" t="s">
        <v>66</v>
      </c>
      <c r="I18">
        <v>6000</v>
      </c>
      <c r="J18">
        <v>5</v>
      </c>
      <c r="K18">
        <v>1800</v>
      </c>
      <c r="L18" s="2">
        <f>Table1[[#This Row],[Profit]]/Table1[[#This Row],[Sales]]*100</f>
        <v>30</v>
      </c>
      <c r="M18" t="s">
        <v>15</v>
      </c>
    </row>
    <row r="19" spans="1:13" x14ac:dyDescent="0.25">
      <c r="A19">
        <v>1018</v>
      </c>
      <c r="B19" s="1">
        <v>45309</v>
      </c>
      <c r="C19" s="1" t="str">
        <f>TEXT(Table1[[#This Row],[Order_Date]],"MMM")</f>
        <v>Jan</v>
      </c>
      <c r="D19" t="s">
        <v>16</v>
      </c>
      <c r="E19" t="s">
        <v>17</v>
      </c>
      <c r="F19" t="s">
        <v>67</v>
      </c>
      <c r="G19" t="s">
        <v>19</v>
      </c>
      <c r="H19" t="s">
        <v>68</v>
      </c>
      <c r="I19">
        <v>35000</v>
      </c>
      <c r="J19">
        <v>1</v>
      </c>
      <c r="K19">
        <v>5500</v>
      </c>
      <c r="L19" s="2">
        <f>Table1[[#This Row],[Profit]]/Table1[[#This Row],[Sales]]*100</f>
        <v>15.714285714285714</v>
      </c>
      <c r="M19" t="s">
        <v>21</v>
      </c>
    </row>
    <row r="20" spans="1:13" x14ac:dyDescent="0.25">
      <c r="A20">
        <v>1019</v>
      </c>
      <c r="B20" s="1">
        <v>45310</v>
      </c>
      <c r="C20" s="1" t="str">
        <f>TEXT(Table1[[#This Row],[Order_Date]],"MMM")</f>
        <v>Jan</v>
      </c>
      <c r="D20" t="s">
        <v>22</v>
      </c>
      <c r="E20" t="s">
        <v>23</v>
      </c>
      <c r="F20" t="s">
        <v>69</v>
      </c>
      <c r="G20" t="s">
        <v>13</v>
      </c>
      <c r="H20" t="s">
        <v>70</v>
      </c>
      <c r="I20">
        <v>18000</v>
      </c>
      <c r="J20">
        <v>2</v>
      </c>
      <c r="K20">
        <v>3200</v>
      </c>
      <c r="L20" s="2">
        <f>Table1[[#This Row],[Profit]]/Table1[[#This Row],[Sales]]*100</f>
        <v>17.777777777777779</v>
      </c>
      <c r="M20" t="s">
        <v>21</v>
      </c>
    </row>
    <row r="21" spans="1:13" x14ac:dyDescent="0.25">
      <c r="A21">
        <v>1020</v>
      </c>
      <c r="B21" s="1">
        <v>45311</v>
      </c>
      <c r="C21" s="1" t="str">
        <f>TEXT(Table1[[#This Row],[Order_Date]],"MMM")</f>
        <v>Jan</v>
      </c>
      <c r="D21" t="s">
        <v>26</v>
      </c>
      <c r="E21" t="s">
        <v>27</v>
      </c>
      <c r="F21" t="s">
        <v>71</v>
      </c>
      <c r="G21" t="s">
        <v>29</v>
      </c>
      <c r="H21" t="s">
        <v>72</v>
      </c>
      <c r="I21">
        <v>2500</v>
      </c>
      <c r="J21">
        <v>12</v>
      </c>
      <c r="K21">
        <v>900</v>
      </c>
      <c r="L21" s="2">
        <f>Table1[[#This Row],[Profit]]/Table1[[#This Row],[Sales]]*100</f>
        <v>36</v>
      </c>
      <c r="M21" t="s">
        <v>15</v>
      </c>
    </row>
    <row r="22" spans="1:13" x14ac:dyDescent="0.25">
      <c r="A22">
        <v>1021</v>
      </c>
      <c r="B22" s="1">
        <v>45312</v>
      </c>
      <c r="C22" s="1" t="str">
        <f>TEXT(Table1[[#This Row],[Order_Date]],"MMM")</f>
        <v>Jan</v>
      </c>
      <c r="D22" t="s">
        <v>11</v>
      </c>
      <c r="E22" t="s">
        <v>73</v>
      </c>
      <c r="F22" t="s">
        <v>74</v>
      </c>
      <c r="G22" t="s">
        <v>19</v>
      </c>
      <c r="H22" t="s">
        <v>75</v>
      </c>
      <c r="I22">
        <v>26000</v>
      </c>
      <c r="J22">
        <v>1</v>
      </c>
      <c r="K22">
        <v>4200</v>
      </c>
      <c r="L22" s="2">
        <f>Table1[[#This Row],[Profit]]/Table1[[#This Row],[Sales]]*100</f>
        <v>16.153846153846153</v>
      </c>
      <c r="M22" t="s">
        <v>21</v>
      </c>
    </row>
    <row r="23" spans="1:13" x14ac:dyDescent="0.25">
      <c r="A23">
        <v>1022</v>
      </c>
      <c r="B23" s="1">
        <v>45313</v>
      </c>
      <c r="C23" s="1" t="str">
        <f>TEXT(Table1[[#This Row],[Order_Date]],"MMM")</f>
        <v>Jan</v>
      </c>
      <c r="D23" t="s">
        <v>16</v>
      </c>
      <c r="E23" t="s">
        <v>34</v>
      </c>
      <c r="F23" t="s">
        <v>76</v>
      </c>
      <c r="G23" t="s">
        <v>13</v>
      </c>
      <c r="H23" t="s">
        <v>77</v>
      </c>
      <c r="I23">
        <v>7000</v>
      </c>
      <c r="J23">
        <v>4</v>
      </c>
      <c r="K23">
        <v>1500</v>
      </c>
      <c r="L23" s="2">
        <f>Table1[[#This Row],[Profit]]/Table1[[#This Row],[Sales]]*100</f>
        <v>21.428571428571427</v>
      </c>
      <c r="M23" t="s">
        <v>15</v>
      </c>
    </row>
    <row r="24" spans="1:13" x14ac:dyDescent="0.25">
      <c r="A24">
        <v>1023</v>
      </c>
      <c r="B24" s="1">
        <v>45314</v>
      </c>
      <c r="C24" s="1" t="str">
        <f>TEXT(Table1[[#This Row],[Order_Date]],"MMM")</f>
        <v>Jan</v>
      </c>
      <c r="D24" t="s">
        <v>22</v>
      </c>
      <c r="E24" t="s">
        <v>37</v>
      </c>
      <c r="F24" t="s">
        <v>78</v>
      </c>
      <c r="G24" s="1" t="s">
        <v>13</v>
      </c>
      <c r="H24" t="s">
        <v>79</v>
      </c>
      <c r="I24">
        <v>4500</v>
      </c>
      <c r="J24">
        <v>6</v>
      </c>
      <c r="K24">
        <v>1200</v>
      </c>
      <c r="L24" s="2">
        <f>Table1[[#This Row],[Profit]]/Table1[[#This Row],[Sales]]*100</f>
        <v>26.666666666666668</v>
      </c>
      <c r="M24" t="s">
        <v>15</v>
      </c>
    </row>
    <row r="25" spans="1:13" x14ac:dyDescent="0.25">
      <c r="A25">
        <v>1024</v>
      </c>
      <c r="B25" s="1">
        <v>45315</v>
      </c>
      <c r="C25" s="1" t="str">
        <f>TEXT(Table1[[#This Row],[Order_Date]],"MMM")</f>
        <v>Jan</v>
      </c>
      <c r="D25" t="s">
        <v>26</v>
      </c>
      <c r="E25" t="s">
        <v>80</v>
      </c>
      <c r="F25" t="s">
        <v>81</v>
      </c>
      <c r="G25" s="1" t="s">
        <v>19</v>
      </c>
      <c r="H25" t="s">
        <v>82</v>
      </c>
      <c r="I25">
        <v>9000</v>
      </c>
      <c r="J25">
        <v>2</v>
      </c>
      <c r="K25">
        <v>1700</v>
      </c>
      <c r="L25" s="2">
        <f>Table1[[#This Row],[Profit]]/Table1[[#This Row],[Sales]]*100</f>
        <v>18.888888888888889</v>
      </c>
      <c r="M25" t="s">
        <v>15</v>
      </c>
    </row>
    <row r="26" spans="1:13" x14ac:dyDescent="0.25">
      <c r="A26">
        <v>1025</v>
      </c>
      <c r="B26" s="1">
        <v>45316</v>
      </c>
      <c r="C26" s="1" t="str">
        <f>TEXT(Table1[[#This Row],[Order_Date]],"MMM")</f>
        <v>Jan</v>
      </c>
      <c r="D26" t="s">
        <v>11</v>
      </c>
      <c r="E26" t="s">
        <v>31</v>
      </c>
      <c r="F26" t="s">
        <v>83</v>
      </c>
      <c r="G26" s="1" t="s">
        <v>13</v>
      </c>
      <c r="H26" t="s">
        <v>45</v>
      </c>
      <c r="I26">
        <v>21000</v>
      </c>
      <c r="J26">
        <v>2</v>
      </c>
      <c r="K26">
        <v>3800</v>
      </c>
      <c r="L26" s="2">
        <f>Table1[[#This Row],[Profit]]/Table1[[#This Row],[Sales]]*100</f>
        <v>18.095238095238095</v>
      </c>
      <c r="M26" t="s">
        <v>21</v>
      </c>
    </row>
    <row r="27" spans="1:13" x14ac:dyDescent="0.25">
      <c r="A27">
        <v>1026</v>
      </c>
      <c r="B27" s="1">
        <v>45317</v>
      </c>
      <c r="C27" s="1" t="str">
        <f>TEXT(Table1[[#This Row],[Order_Date]],"MMM")</f>
        <v>Jan</v>
      </c>
      <c r="D27" t="s">
        <v>16</v>
      </c>
      <c r="E27" t="s">
        <v>46</v>
      </c>
      <c r="F27" t="s">
        <v>84</v>
      </c>
      <c r="G27" s="1" t="s">
        <v>29</v>
      </c>
      <c r="H27" t="s">
        <v>30</v>
      </c>
      <c r="I27">
        <v>4800</v>
      </c>
      <c r="J27">
        <v>10</v>
      </c>
      <c r="K27">
        <v>1400</v>
      </c>
      <c r="L27" s="2">
        <f>Table1[[#This Row],[Profit]]/Table1[[#This Row],[Sales]]*100</f>
        <v>29.166666666666668</v>
      </c>
      <c r="M27" t="s">
        <v>15</v>
      </c>
    </row>
    <row r="28" spans="1:13" x14ac:dyDescent="0.25">
      <c r="A28">
        <v>1027</v>
      </c>
      <c r="B28" s="1">
        <v>45318</v>
      </c>
      <c r="C28" s="1" t="str">
        <f>TEXT(Table1[[#This Row],[Order_Date]],"MMM")</f>
        <v>Jan</v>
      </c>
      <c r="D28" t="s">
        <v>22</v>
      </c>
      <c r="E28" t="s">
        <v>85</v>
      </c>
      <c r="F28" t="s">
        <v>86</v>
      </c>
      <c r="G28" s="1" t="s">
        <v>13</v>
      </c>
      <c r="H28" t="s">
        <v>54</v>
      </c>
      <c r="I28">
        <v>32000</v>
      </c>
      <c r="J28">
        <v>1</v>
      </c>
      <c r="K28">
        <v>5200</v>
      </c>
      <c r="L28" s="2">
        <f>Table1[[#This Row],[Profit]]/Table1[[#This Row],[Sales]]*100</f>
        <v>16.25</v>
      </c>
      <c r="M28" t="s">
        <v>15</v>
      </c>
    </row>
    <row r="29" spans="1:13" x14ac:dyDescent="0.25">
      <c r="A29">
        <v>1028</v>
      </c>
      <c r="B29" s="1">
        <v>45319</v>
      </c>
      <c r="C29" s="1" t="str">
        <f>TEXT(Table1[[#This Row],[Order_Date]],"MMM")</f>
        <v>Jan</v>
      </c>
      <c r="D29" t="s">
        <v>26</v>
      </c>
      <c r="E29" t="s">
        <v>40</v>
      </c>
      <c r="F29" t="s">
        <v>87</v>
      </c>
      <c r="G29" s="1" t="s">
        <v>19</v>
      </c>
      <c r="H29" t="s">
        <v>88</v>
      </c>
      <c r="I29">
        <v>6500</v>
      </c>
      <c r="J29">
        <v>3</v>
      </c>
      <c r="K29">
        <v>1300</v>
      </c>
      <c r="L29" s="2">
        <f>Table1[[#This Row],[Profit]]/Table1[[#This Row],[Sales]]*100</f>
        <v>20</v>
      </c>
      <c r="M29" t="s">
        <v>15</v>
      </c>
    </row>
    <row r="30" spans="1:13" x14ac:dyDescent="0.25">
      <c r="A30">
        <v>1029</v>
      </c>
      <c r="B30" s="1">
        <v>45320</v>
      </c>
      <c r="C30" s="1" t="str">
        <f>TEXT(Table1[[#This Row],[Order_Date]],"MMM")</f>
        <v>Jan</v>
      </c>
      <c r="D30" t="s">
        <v>11</v>
      </c>
      <c r="E30" t="s">
        <v>49</v>
      </c>
      <c r="F30" t="s">
        <v>89</v>
      </c>
      <c r="G30" s="1" t="s">
        <v>19</v>
      </c>
      <c r="H30" t="s">
        <v>90</v>
      </c>
      <c r="I30">
        <v>38000</v>
      </c>
      <c r="J30">
        <v>1</v>
      </c>
      <c r="K30">
        <v>6200</v>
      </c>
      <c r="L30" s="2">
        <f>Table1[[#This Row],[Profit]]/Table1[[#This Row],[Sales]]*100</f>
        <v>16.315789473684212</v>
      </c>
      <c r="M30" t="s">
        <v>21</v>
      </c>
    </row>
    <row r="31" spans="1:13" x14ac:dyDescent="0.25">
      <c r="A31">
        <v>1030</v>
      </c>
      <c r="B31" s="1">
        <v>45321</v>
      </c>
      <c r="C31" s="1" t="str">
        <f>TEXT(Table1[[#This Row],[Order_Date]],"MMM")</f>
        <v>Jan</v>
      </c>
      <c r="D31" t="s">
        <v>16</v>
      </c>
      <c r="E31" t="s">
        <v>91</v>
      </c>
      <c r="F31" t="s">
        <v>92</v>
      </c>
      <c r="G31" s="1" t="s">
        <v>13</v>
      </c>
      <c r="H31" t="s">
        <v>39</v>
      </c>
      <c r="I31">
        <v>11000</v>
      </c>
      <c r="J31">
        <v>2</v>
      </c>
      <c r="K31">
        <v>2100</v>
      </c>
      <c r="L31" s="2">
        <f>Table1[[#This Row],[Profit]]/Table1[[#This Row],[Sales]]*100</f>
        <v>19.090909090909093</v>
      </c>
      <c r="M31" t="s">
        <v>15</v>
      </c>
    </row>
    <row r="32" spans="1:13" x14ac:dyDescent="0.25">
      <c r="A32">
        <v>1031</v>
      </c>
      <c r="B32" s="1">
        <v>45322</v>
      </c>
      <c r="C32" s="1" t="str">
        <f>TEXT(Table1[[#This Row],[Order_Date]],"MMM")</f>
        <v>Jan</v>
      </c>
      <c r="D32" t="s">
        <v>22</v>
      </c>
      <c r="E32" t="s">
        <v>93</v>
      </c>
      <c r="F32" t="s">
        <v>94</v>
      </c>
      <c r="G32" s="1" t="s">
        <v>13</v>
      </c>
      <c r="H32" t="s">
        <v>65</v>
      </c>
      <c r="I32">
        <v>17000</v>
      </c>
      <c r="J32">
        <v>1</v>
      </c>
      <c r="K32">
        <v>2800</v>
      </c>
      <c r="L32" s="2">
        <f>Table1[[#This Row],[Profit]]/Table1[[#This Row],[Sales]]*100</f>
        <v>16.470588235294116</v>
      </c>
      <c r="M32" t="s">
        <v>21</v>
      </c>
    </row>
    <row r="33" spans="1:13" x14ac:dyDescent="0.25">
      <c r="A33">
        <v>1032</v>
      </c>
      <c r="B33" s="1">
        <v>45323</v>
      </c>
      <c r="C33" s="1" t="str">
        <f>TEXT(Table1[[#This Row],[Order_Date]],"MMM")</f>
        <v>Feb</v>
      </c>
      <c r="D33" t="s">
        <v>26</v>
      </c>
      <c r="E33" t="s">
        <v>52</v>
      </c>
      <c r="F33" t="s">
        <v>95</v>
      </c>
      <c r="G33" s="1" t="s">
        <v>29</v>
      </c>
      <c r="H33" t="s">
        <v>96</v>
      </c>
      <c r="I33">
        <v>2000</v>
      </c>
      <c r="J33">
        <v>20</v>
      </c>
      <c r="K33">
        <v>700</v>
      </c>
      <c r="L33" s="2">
        <f>Table1[[#This Row],[Profit]]/Table1[[#This Row],[Sales]]*100</f>
        <v>35</v>
      </c>
      <c r="M33" t="s">
        <v>15</v>
      </c>
    </row>
    <row r="34" spans="1:13" x14ac:dyDescent="0.25">
      <c r="A34">
        <v>1033</v>
      </c>
      <c r="B34" s="1">
        <v>45324</v>
      </c>
      <c r="C34" s="1" t="str">
        <f>TEXT(Table1[[#This Row],[Order_Date]],"MMM")</f>
        <v>Feb</v>
      </c>
      <c r="D34" t="s">
        <v>11</v>
      </c>
      <c r="E34" t="s">
        <v>12</v>
      </c>
      <c r="F34" t="s">
        <v>12</v>
      </c>
      <c r="G34" s="1" t="s">
        <v>19</v>
      </c>
      <c r="H34" t="s">
        <v>82</v>
      </c>
      <c r="I34">
        <v>9500</v>
      </c>
      <c r="J34">
        <v>2</v>
      </c>
      <c r="K34">
        <v>1600</v>
      </c>
      <c r="L34" s="2">
        <f>Table1[[#This Row],[Profit]]/Table1[[#This Row],[Sales]]*100</f>
        <v>16.842105263157894</v>
      </c>
      <c r="M34" t="s">
        <v>15</v>
      </c>
    </row>
    <row r="35" spans="1:13" x14ac:dyDescent="0.25">
      <c r="A35">
        <v>1034</v>
      </c>
      <c r="B35" s="1">
        <v>45325</v>
      </c>
      <c r="C35" s="1" t="str">
        <f>TEXT(Table1[[#This Row],[Order_Date]],"MMM")</f>
        <v>Feb</v>
      </c>
      <c r="D35" t="s">
        <v>16</v>
      </c>
      <c r="E35" t="s">
        <v>17</v>
      </c>
      <c r="F35" t="s">
        <v>18</v>
      </c>
      <c r="G35" s="1" t="s">
        <v>13</v>
      </c>
      <c r="H35" t="s">
        <v>25</v>
      </c>
      <c r="I35">
        <v>60000</v>
      </c>
      <c r="J35">
        <v>1</v>
      </c>
      <c r="K35">
        <v>8500</v>
      </c>
      <c r="L35" s="2">
        <f>Table1[[#This Row],[Profit]]/Table1[[#This Row],[Sales]]*100</f>
        <v>14.166666666666666</v>
      </c>
      <c r="M35" t="s">
        <v>21</v>
      </c>
    </row>
    <row r="36" spans="1:13" x14ac:dyDescent="0.25">
      <c r="A36">
        <v>1035</v>
      </c>
      <c r="B36" s="1">
        <v>45326</v>
      </c>
      <c r="C36" s="1" t="str">
        <f>TEXT(Table1[[#This Row],[Order_Date]],"MMM")</f>
        <v>Feb</v>
      </c>
      <c r="D36" t="s">
        <v>22</v>
      </c>
      <c r="E36" t="s">
        <v>23</v>
      </c>
      <c r="F36" t="s">
        <v>97</v>
      </c>
      <c r="G36" s="1" t="s">
        <v>13</v>
      </c>
      <c r="H36" t="s">
        <v>45</v>
      </c>
      <c r="I36">
        <v>19000</v>
      </c>
      <c r="J36">
        <v>2</v>
      </c>
      <c r="K36">
        <v>3400</v>
      </c>
      <c r="L36" s="2">
        <f>Table1[[#This Row],[Profit]]/Table1[[#This Row],[Sales]]*100</f>
        <v>17.894736842105264</v>
      </c>
      <c r="M36" t="s">
        <v>15</v>
      </c>
    </row>
    <row r="37" spans="1:13" x14ac:dyDescent="0.25">
      <c r="A37">
        <v>1036</v>
      </c>
      <c r="B37" s="1">
        <v>45327</v>
      </c>
      <c r="C37" s="1" t="str">
        <f>TEXT(Table1[[#This Row],[Order_Date]],"MMM")</f>
        <v>Feb</v>
      </c>
      <c r="D37" t="s">
        <v>26</v>
      </c>
      <c r="E37" t="s">
        <v>27</v>
      </c>
      <c r="F37" t="s">
        <v>98</v>
      </c>
      <c r="G37" s="1" t="s">
        <v>19</v>
      </c>
      <c r="H37" t="s">
        <v>99</v>
      </c>
      <c r="I37">
        <v>17000</v>
      </c>
      <c r="J37">
        <v>1</v>
      </c>
      <c r="K37">
        <v>3000</v>
      </c>
      <c r="L37" s="2">
        <f>Table1[[#This Row],[Profit]]/Table1[[#This Row],[Sales]]*100</f>
        <v>17.647058823529413</v>
      </c>
      <c r="M37" t="s">
        <v>21</v>
      </c>
    </row>
    <row r="38" spans="1:13" x14ac:dyDescent="0.25">
      <c r="A38">
        <v>1037</v>
      </c>
      <c r="B38" s="1">
        <v>45328</v>
      </c>
      <c r="C38" s="1" t="str">
        <f>TEXT(Table1[[#This Row],[Order_Date]],"MMM")</f>
        <v>Feb</v>
      </c>
      <c r="D38" t="s">
        <v>11</v>
      </c>
      <c r="E38" t="s">
        <v>43</v>
      </c>
      <c r="F38" t="s">
        <v>100</v>
      </c>
      <c r="G38" s="1" t="s">
        <v>13</v>
      </c>
      <c r="H38" t="s">
        <v>14</v>
      </c>
      <c r="I38">
        <v>24000</v>
      </c>
      <c r="J38">
        <v>2</v>
      </c>
      <c r="K38">
        <v>3900</v>
      </c>
      <c r="L38" s="2">
        <f>Table1[[#This Row],[Profit]]/Table1[[#This Row],[Sales]]*100</f>
        <v>16.25</v>
      </c>
      <c r="M38" t="s">
        <v>15</v>
      </c>
    </row>
    <row r="39" spans="1:13" x14ac:dyDescent="0.25">
      <c r="A39">
        <v>1038</v>
      </c>
      <c r="B39" s="1">
        <v>45329</v>
      </c>
      <c r="C39" s="1" t="str">
        <f>TEXT(Table1[[#This Row],[Order_Date]],"MMM")</f>
        <v>Feb</v>
      </c>
      <c r="D39" t="s">
        <v>16</v>
      </c>
      <c r="E39" t="s">
        <v>34</v>
      </c>
      <c r="F39" t="s">
        <v>101</v>
      </c>
      <c r="G39" s="1" t="s">
        <v>29</v>
      </c>
      <c r="H39" t="s">
        <v>30</v>
      </c>
      <c r="I39">
        <v>5200</v>
      </c>
      <c r="J39">
        <v>12</v>
      </c>
      <c r="K39">
        <v>1500</v>
      </c>
      <c r="L39" s="2">
        <f>Table1[[#This Row],[Profit]]/Table1[[#This Row],[Sales]]*100</f>
        <v>28.846153846153843</v>
      </c>
      <c r="M39" t="s">
        <v>15</v>
      </c>
    </row>
    <row r="40" spans="1:13" x14ac:dyDescent="0.25">
      <c r="A40">
        <v>1039</v>
      </c>
      <c r="B40" s="1">
        <v>45330</v>
      </c>
      <c r="C40" s="1" t="str">
        <f>TEXT(Table1[[#This Row],[Order_Date]],"MMM")</f>
        <v>Feb</v>
      </c>
      <c r="D40" t="s">
        <v>22</v>
      </c>
      <c r="E40" t="s">
        <v>37</v>
      </c>
      <c r="F40" t="s">
        <v>102</v>
      </c>
      <c r="G40" s="1" t="s">
        <v>13</v>
      </c>
      <c r="H40" t="s">
        <v>39</v>
      </c>
      <c r="I40">
        <v>13000</v>
      </c>
      <c r="J40">
        <v>3</v>
      </c>
      <c r="K40">
        <v>2600</v>
      </c>
      <c r="L40" s="2">
        <f>Table1[[#This Row],[Profit]]/Table1[[#This Row],[Sales]]*100</f>
        <v>20</v>
      </c>
      <c r="M40" t="s">
        <v>15</v>
      </c>
    </row>
    <row r="41" spans="1:13" x14ac:dyDescent="0.25">
      <c r="A41">
        <v>1040</v>
      </c>
      <c r="B41" s="1">
        <v>45331</v>
      </c>
      <c r="C41" s="1" t="str">
        <f>TEXT(Table1[[#This Row],[Order_Date]],"MMM")</f>
        <v>Feb</v>
      </c>
      <c r="D41" t="s">
        <v>26</v>
      </c>
      <c r="E41" t="s">
        <v>63</v>
      </c>
      <c r="F41" t="s">
        <v>103</v>
      </c>
      <c r="G41" s="1" t="s">
        <v>19</v>
      </c>
      <c r="H41" t="s">
        <v>42</v>
      </c>
      <c r="I41">
        <v>15500</v>
      </c>
      <c r="J41">
        <v>2</v>
      </c>
      <c r="K41">
        <v>2900</v>
      </c>
      <c r="L41" s="2">
        <f>Table1[[#This Row],[Profit]]/Table1[[#This Row],[Sales]]*100</f>
        <v>18.70967741935484</v>
      </c>
      <c r="M41" t="s">
        <v>21</v>
      </c>
    </row>
    <row r="42" spans="1:13" x14ac:dyDescent="0.25">
      <c r="A42">
        <v>1041</v>
      </c>
      <c r="B42" s="1">
        <v>45332</v>
      </c>
      <c r="C42" s="1" t="str">
        <f>TEXT(Table1[[#This Row],[Order_Date]],"MMM")</f>
        <v>Feb</v>
      </c>
      <c r="D42" t="s">
        <v>11</v>
      </c>
      <c r="E42" t="s">
        <v>104</v>
      </c>
      <c r="F42" t="s">
        <v>105</v>
      </c>
      <c r="G42" s="1" t="s">
        <v>13</v>
      </c>
      <c r="H42" t="s">
        <v>54</v>
      </c>
      <c r="I42">
        <v>31000</v>
      </c>
      <c r="J42">
        <v>1</v>
      </c>
      <c r="K42">
        <v>5100</v>
      </c>
      <c r="L42" s="2">
        <f>Table1[[#This Row],[Profit]]/Table1[[#This Row],[Sales]]*100</f>
        <v>16.451612903225808</v>
      </c>
      <c r="M42" t="s">
        <v>15</v>
      </c>
    </row>
    <row r="43" spans="1:13" x14ac:dyDescent="0.25">
      <c r="A43">
        <v>1042</v>
      </c>
      <c r="B43" s="1">
        <v>45333</v>
      </c>
      <c r="C43" s="1" t="str">
        <f>TEXT(Table1[[#This Row],[Order_Date]],"MMM")</f>
        <v>Feb</v>
      </c>
      <c r="D43" t="s">
        <v>16</v>
      </c>
      <c r="E43" t="s">
        <v>46</v>
      </c>
      <c r="F43" t="s">
        <v>106</v>
      </c>
      <c r="G43" s="1" t="s">
        <v>19</v>
      </c>
      <c r="H43" t="s">
        <v>68</v>
      </c>
      <c r="I43">
        <v>36000</v>
      </c>
      <c r="J43">
        <v>1</v>
      </c>
      <c r="K43">
        <v>5600</v>
      </c>
      <c r="L43" s="2">
        <f>Table1[[#This Row],[Profit]]/Table1[[#This Row],[Sales]]*100</f>
        <v>15.555555555555555</v>
      </c>
      <c r="M43" t="s">
        <v>21</v>
      </c>
    </row>
    <row r="44" spans="1:13" x14ac:dyDescent="0.25">
      <c r="A44">
        <v>1043</v>
      </c>
      <c r="B44" s="1">
        <v>45334</v>
      </c>
      <c r="C44" s="1" t="str">
        <f>TEXT(Table1[[#This Row],[Order_Date]],"MMM")</f>
        <v>Feb</v>
      </c>
      <c r="D44" t="s">
        <v>22</v>
      </c>
      <c r="E44" t="s">
        <v>49</v>
      </c>
      <c r="F44" t="s">
        <v>107</v>
      </c>
      <c r="G44" s="1" t="s">
        <v>29</v>
      </c>
      <c r="H44" t="s">
        <v>62</v>
      </c>
      <c r="I44">
        <v>4200</v>
      </c>
      <c r="J44">
        <v>18</v>
      </c>
      <c r="K44">
        <v>1300</v>
      </c>
      <c r="L44" s="2">
        <f>Table1[[#This Row],[Profit]]/Table1[[#This Row],[Sales]]*100</f>
        <v>30.952380952380953</v>
      </c>
      <c r="M44" t="s">
        <v>15</v>
      </c>
    </row>
    <row r="45" spans="1:13" x14ac:dyDescent="0.25">
      <c r="A45">
        <v>1044</v>
      </c>
      <c r="B45" s="1">
        <v>45335</v>
      </c>
      <c r="C45" s="1" t="str">
        <f>TEXT(Table1[[#This Row],[Order_Date]],"MMM")</f>
        <v>Feb</v>
      </c>
      <c r="D45" t="s">
        <v>26</v>
      </c>
      <c r="E45" t="s">
        <v>80</v>
      </c>
      <c r="F45" t="s">
        <v>108</v>
      </c>
      <c r="G45" s="1" t="s">
        <v>13</v>
      </c>
      <c r="H45" t="s">
        <v>70</v>
      </c>
      <c r="I45">
        <v>17500</v>
      </c>
      <c r="J45">
        <v>2</v>
      </c>
      <c r="K45">
        <v>3000</v>
      </c>
      <c r="L45" s="2">
        <f>Table1[[#This Row],[Profit]]/Table1[[#This Row],[Sales]]*100</f>
        <v>17.142857142857142</v>
      </c>
      <c r="M45" t="s">
        <v>21</v>
      </c>
    </row>
    <row r="46" spans="1:13" x14ac:dyDescent="0.25">
      <c r="A46">
        <v>1045</v>
      </c>
      <c r="B46" s="1">
        <v>45336</v>
      </c>
      <c r="C46" s="1" t="str">
        <f>TEXT(Table1[[#This Row],[Order_Date]],"MMM")</f>
        <v>Feb</v>
      </c>
      <c r="D46" t="s">
        <v>11</v>
      </c>
      <c r="E46" t="s">
        <v>55</v>
      </c>
      <c r="F46" t="s">
        <v>109</v>
      </c>
      <c r="G46" s="1" t="s">
        <v>19</v>
      </c>
      <c r="H46" t="s">
        <v>110</v>
      </c>
      <c r="I46">
        <v>21000</v>
      </c>
      <c r="J46">
        <v>1</v>
      </c>
      <c r="K46">
        <v>3600</v>
      </c>
      <c r="L46" s="2">
        <f>Table1[[#This Row],[Profit]]/Table1[[#This Row],[Sales]]*100</f>
        <v>17.142857142857142</v>
      </c>
      <c r="M46" t="s">
        <v>21</v>
      </c>
    </row>
    <row r="47" spans="1:13" x14ac:dyDescent="0.25">
      <c r="A47">
        <v>1046</v>
      </c>
      <c r="B47" s="1">
        <v>45337</v>
      </c>
      <c r="C47" s="1" t="str">
        <f>TEXT(Table1[[#This Row],[Order_Date]],"MMM")</f>
        <v>Feb</v>
      </c>
      <c r="D47" t="s">
        <v>16</v>
      </c>
      <c r="E47" t="s">
        <v>91</v>
      </c>
      <c r="F47" t="s">
        <v>111</v>
      </c>
      <c r="G47" s="1" t="s">
        <v>13</v>
      </c>
      <c r="H47" t="s">
        <v>77</v>
      </c>
      <c r="I47">
        <v>7200</v>
      </c>
      <c r="J47">
        <v>4</v>
      </c>
      <c r="K47">
        <v>1600</v>
      </c>
      <c r="L47" s="2">
        <f>Table1[[#This Row],[Profit]]/Table1[[#This Row],[Sales]]*100</f>
        <v>22.222222222222221</v>
      </c>
      <c r="M47" t="s">
        <v>15</v>
      </c>
    </row>
    <row r="48" spans="1:13" x14ac:dyDescent="0.25">
      <c r="A48">
        <v>1047</v>
      </c>
      <c r="B48" s="1">
        <v>45338</v>
      </c>
      <c r="C48" s="1" t="str">
        <f>TEXT(Table1[[#This Row],[Order_Date]],"MMM")</f>
        <v>Feb</v>
      </c>
      <c r="D48" t="s">
        <v>22</v>
      </c>
      <c r="E48" t="s">
        <v>60</v>
      </c>
      <c r="F48" t="s">
        <v>112</v>
      </c>
      <c r="G48" s="1" t="s">
        <v>13</v>
      </c>
      <c r="H48" t="s">
        <v>79</v>
      </c>
      <c r="I48">
        <v>4800</v>
      </c>
      <c r="J48">
        <v>6</v>
      </c>
      <c r="K48">
        <v>1250</v>
      </c>
      <c r="L48" s="2">
        <f>Table1[[#This Row],[Profit]]/Table1[[#This Row],[Sales]]*100</f>
        <v>26.041666666666668</v>
      </c>
      <c r="M48" t="s">
        <v>15</v>
      </c>
    </row>
    <row r="49" spans="1:13" x14ac:dyDescent="0.25">
      <c r="A49">
        <v>1048</v>
      </c>
      <c r="B49" s="1">
        <v>45339</v>
      </c>
      <c r="C49" s="1" t="str">
        <f>TEXT(Table1[[#This Row],[Order_Date]],"MMM")</f>
        <v>Feb</v>
      </c>
      <c r="D49" t="s">
        <v>26</v>
      </c>
      <c r="E49" t="s">
        <v>40</v>
      </c>
      <c r="F49" t="s">
        <v>113</v>
      </c>
      <c r="G49" s="1" t="s">
        <v>19</v>
      </c>
      <c r="H49" t="s">
        <v>82</v>
      </c>
      <c r="I49">
        <v>8800</v>
      </c>
      <c r="J49">
        <v>2</v>
      </c>
      <c r="K49">
        <v>1650</v>
      </c>
      <c r="L49" s="2">
        <f>Table1[[#This Row],[Profit]]/Table1[[#This Row],[Sales]]*100</f>
        <v>18.75</v>
      </c>
      <c r="M49" t="s">
        <v>15</v>
      </c>
    </row>
    <row r="50" spans="1:13" x14ac:dyDescent="0.25">
      <c r="A50">
        <v>1049</v>
      </c>
      <c r="B50" s="1">
        <v>45340</v>
      </c>
      <c r="C50" s="1" t="str">
        <f>TEXT(Table1[[#This Row],[Order_Date]],"MMM")</f>
        <v>Feb</v>
      </c>
      <c r="D50" t="s">
        <v>11</v>
      </c>
      <c r="E50" t="s">
        <v>31</v>
      </c>
      <c r="F50" t="s">
        <v>114</v>
      </c>
      <c r="G50" s="1" t="s">
        <v>13</v>
      </c>
      <c r="H50" t="s">
        <v>45</v>
      </c>
      <c r="I50">
        <v>22500</v>
      </c>
      <c r="J50">
        <v>2</v>
      </c>
      <c r="K50">
        <v>3900</v>
      </c>
      <c r="L50" s="2">
        <f>Table1[[#This Row],[Profit]]/Table1[[#This Row],[Sales]]*100</f>
        <v>17.333333333333336</v>
      </c>
      <c r="M50" t="s">
        <v>21</v>
      </c>
    </row>
    <row r="51" spans="1:13" x14ac:dyDescent="0.25">
      <c r="A51">
        <v>1050</v>
      </c>
      <c r="B51" s="1">
        <v>45341</v>
      </c>
      <c r="C51" s="1" t="str">
        <f>TEXT(Table1[[#This Row],[Order_Date]],"MMM")</f>
        <v>Feb</v>
      </c>
      <c r="D51" t="s">
        <v>16</v>
      </c>
      <c r="E51" t="s">
        <v>17</v>
      </c>
      <c r="F51" t="s">
        <v>115</v>
      </c>
      <c r="G51" s="1" t="s">
        <v>29</v>
      </c>
      <c r="H51" t="s">
        <v>48</v>
      </c>
      <c r="I51">
        <v>3500</v>
      </c>
      <c r="J51">
        <v>14</v>
      </c>
      <c r="K51">
        <v>1100</v>
      </c>
      <c r="L51" s="2">
        <f>Table1[[#This Row],[Profit]]/Table1[[#This Row],[Sales]]*100</f>
        <v>31.428571428571427</v>
      </c>
      <c r="M51" t="s">
        <v>15</v>
      </c>
    </row>
    <row r="52" spans="1:13" hidden="1" x14ac:dyDescent="0.25">
      <c r="B52" s="1"/>
      <c r="C52" s="1"/>
      <c r="G52" s="1"/>
      <c r="L52" t="e">
        <f>Table1[[#This Row],[Profit]]/Table1[[#This Row],[Sales]]*100</f>
        <v>#DIV/0!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69C1E-D7E2-4E07-8C5C-BAB0B637A7DC}">
  <dimension ref="A1:X38"/>
  <sheetViews>
    <sheetView tabSelected="1" zoomScale="85" zoomScaleNormal="85" workbookViewId="0">
      <selection activeCell="A4" sqref="A4:X35"/>
    </sheetView>
  </sheetViews>
  <sheetFormatPr defaultRowHeight="15" x14ac:dyDescent="0.25"/>
  <sheetData>
    <row r="1" spans="1:24" ht="15" customHeight="1" x14ac:dyDescent="0.25">
      <c r="A1" s="6" t="s">
        <v>124</v>
      </c>
      <c r="B1" s="6"/>
      <c r="C1" s="6"/>
      <c r="D1" s="6"/>
      <c r="E1" s="6"/>
      <c r="F1" s="6"/>
      <c r="G1" s="6"/>
      <c r="H1" s="6"/>
      <c r="I1" s="6"/>
      <c r="J1" s="6"/>
      <c r="K1" s="6"/>
      <c r="L1" s="6"/>
      <c r="M1" s="6"/>
      <c r="N1" s="6"/>
      <c r="O1" s="6"/>
      <c r="P1" s="6"/>
      <c r="Q1" s="6"/>
      <c r="R1" s="6"/>
      <c r="S1" s="6"/>
      <c r="T1" s="6"/>
      <c r="U1" s="6"/>
      <c r="V1" s="6"/>
      <c r="W1" s="6"/>
      <c r="X1" s="6"/>
    </row>
    <row r="2" spans="1:24" ht="15" customHeight="1" x14ac:dyDescent="0.25">
      <c r="A2" s="6"/>
      <c r="B2" s="6"/>
      <c r="C2" s="6"/>
      <c r="D2" s="6"/>
      <c r="E2" s="6"/>
      <c r="F2" s="6"/>
      <c r="G2" s="6"/>
      <c r="H2" s="6"/>
      <c r="I2" s="6"/>
      <c r="J2" s="6"/>
      <c r="K2" s="6"/>
      <c r="L2" s="6"/>
      <c r="M2" s="6"/>
      <c r="N2" s="6"/>
      <c r="O2" s="6"/>
      <c r="P2" s="6"/>
      <c r="Q2" s="6"/>
      <c r="R2" s="6"/>
      <c r="S2" s="6"/>
      <c r="T2" s="6"/>
      <c r="U2" s="6"/>
      <c r="V2" s="6"/>
      <c r="W2" s="6"/>
      <c r="X2" s="6"/>
    </row>
    <row r="3" spans="1:24" ht="15" customHeight="1" x14ac:dyDescent="0.25">
      <c r="A3" s="6"/>
      <c r="B3" s="6"/>
      <c r="C3" s="6"/>
      <c r="D3" s="6"/>
      <c r="E3" s="6"/>
      <c r="F3" s="6"/>
      <c r="G3" s="6"/>
      <c r="H3" s="6"/>
      <c r="I3" s="6"/>
      <c r="J3" s="6"/>
      <c r="K3" s="6"/>
      <c r="L3" s="6"/>
      <c r="M3" s="6"/>
      <c r="N3" s="6"/>
      <c r="O3" s="6"/>
      <c r="P3" s="6"/>
      <c r="Q3" s="6"/>
      <c r="R3" s="6"/>
      <c r="S3" s="6"/>
      <c r="T3" s="6"/>
      <c r="U3" s="6"/>
      <c r="V3" s="6"/>
      <c r="W3" s="6"/>
      <c r="X3" s="6"/>
    </row>
    <row r="4" spans="1:24" x14ac:dyDescent="0.25">
      <c r="A4" s="5"/>
      <c r="B4" s="5"/>
      <c r="C4" s="5"/>
      <c r="D4" s="5"/>
      <c r="E4" s="5"/>
      <c r="F4" s="5"/>
      <c r="G4" s="5"/>
      <c r="H4" s="5"/>
      <c r="I4" s="5"/>
      <c r="J4" s="5"/>
      <c r="K4" s="5"/>
      <c r="L4" s="5"/>
      <c r="M4" s="5"/>
      <c r="N4" s="5"/>
      <c r="O4" s="5"/>
      <c r="P4" s="5"/>
      <c r="Q4" s="5"/>
      <c r="R4" s="5"/>
      <c r="S4" s="5"/>
      <c r="T4" s="5"/>
      <c r="U4" s="5"/>
      <c r="V4" s="5"/>
      <c r="W4" s="5"/>
      <c r="X4" s="5"/>
    </row>
    <row r="5" spans="1:24" x14ac:dyDescent="0.25">
      <c r="A5" s="5"/>
      <c r="B5" s="5"/>
      <c r="C5" s="5"/>
      <c r="D5" s="5"/>
      <c r="E5" s="5"/>
      <c r="F5" s="5"/>
      <c r="G5" s="5"/>
      <c r="H5" s="5"/>
      <c r="I5" s="5"/>
      <c r="J5" s="5"/>
      <c r="K5" s="5"/>
      <c r="L5" s="5"/>
      <c r="M5" s="5"/>
      <c r="N5" s="5"/>
      <c r="O5" s="5"/>
      <c r="P5" s="5"/>
      <c r="Q5" s="5"/>
      <c r="R5" s="5"/>
      <c r="S5" s="5"/>
      <c r="T5" s="5"/>
      <c r="U5" s="5"/>
      <c r="V5" s="5"/>
      <c r="W5" s="5"/>
      <c r="X5" s="5"/>
    </row>
    <row r="6" spans="1:24" x14ac:dyDescent="0.25">
      <c r="A6" s="5"/>
      <c r="B6" s="5"/>
      <c r="C6" s="5"/>
      <c r="D6" s="5"/>
      <c r="E6" s="5"/>
      <c r="F6" s="5"/>
      <c r="G6" s="5"/>
      <c r="H6" s="5"/>
      <c r="I6" s="5"/>
      <c r="J6" s="5"/>
      <c r="K6" s="5"/>
      <c r="L6" s="5"/>
      <c r="M6" s="5"/>
      <c r="N6" s="5"/>
      <c r="O6" s="5"/>
      <c r="P6" s="5"/>
      <c r="Q6" s="5"/>
      <c r="R6" s="5"/>
      <c r="S6" s="5"/>
      <c r="T6" s="5"/>
      <c r="U6" s="5"/>
      <c r="V6" s="5"/>
      <c r="W6" s="5"/>
      <c r="X6" s="5"/>
    </row>
    <row r="7" spans="1:24" x14ac:dyDescent="0.25">
      <c r="A7" s="5"/>
      <c r="B7" s="5"/>
      <c r="C7" s="5"/>
      <c r="D7" s="5"/>
      <c r="E7" s="5"/>
      <c r="F7" s="5"/>
      <c r="G7" s="5"/>
      <c r="H7" s="5"/>
      <c r="I7" s="5"/>
      <c r="J7" s="5"/>
      <c r="K7" s="5"/>
      <c r="L7" s="5"/>
      <c r="M7" s="5"/>
      <c r="N7" s="5"/>
      <c r="O7" s="5"/>
      <c r="P7" s="5"/>
      <c r="Q7" s="5"/>
      <c r="R7" s="5"/>
      <c r="S7" s="5"/>
      <c r="T7" s="5"/>
      <c r="U7" s="5"/>
      <c r="V7" s="5"/>
      <c r="W7" s="5"/>
      <c r="X7" s="5"/>
    </row>
    <row r="8" spans="1:24" x14ac:dyDescent="0.25">
      <c r="A8" s="5"/>
      <c r="B8" s="5"/>
      <c r="C8" s="5"/>
      <c r="D8" s="5"/>
      <c r="E8" s="5"/>
      <c r="F8" s="5"/>
      <c r="G8" s="5"/>
      <c r="H8" s="5"/>
      <c r="I8" s="5"/>
      <c r="J8" s="5"/>
      <c r="K8" s="5"/>
      <c r="L8" s="5"/>
      <c r="M8" s="5"/>
      <c r="N8" s="5"/>
      <c r="O8" s="5"/>
      <c r="P8" s="5"/>
      <c r="Q8" s="5"/>
      <c r="R8" s="5"/>
      <c r="S8" s="5"/>
      <c r="T8" s="5"/>
      <c r="U8" s="5"/>
      <c r="V8" s="5"/>
      <c r="W8" s="5"/>
      <c r="X8" s="5"/>
    </row>
    <row r="9" spans="1:24" x14ac:dyDescent="0.25">
      <c r="A9" s="5"/>
      <c r="B9" s="5"/>
      <c r="C9" s="5"/>
      <c r="D9" s="5"/>
      <c r="E9" s="5"/>
      <c r="F9" s="5"/>
      <c r="G9" s="5"/>
      <c r="H9" s="5"/>
      <c r="I9" s="5"/>
      <c r="J9" s="5"/>
      <c r="K9" s="5"/>
      <c r="L9" s="5"/>
      <c r="M9" s="5"/>
      <c r="N9" s="5"/>
      <c r="O9" s="5"/>
      <c r="P9" s="5"/>
      <c r="Q9" s="5"/>
      <c r="R9" s="5"/>
      <c r="S9" s="5"/>
      <c r="T9" s="5"/>
      <c r="U9" s="5"/>
      <c r="V9" s="5"/>
      <c r="W9" s="5"/>
      <c r="X9" s="5"/>
    </row>
    <row r="10" spans="1:24" x14ac:dyDescent="0.25">
      <c r="A10" s="5"/>
      <c r="B10" s="5"/>
      <c r="C10" s="5"/>
      <c r="D10" s="5"/>
      <c r="E10" s="5"/>
      <c r="F10" s="5"/>
      <c r="G10" s="5"/>
      <c r="H10" s="5"/>
      <c r="I10" s="5"/>
      <c r="J10" s="5"/>
      <c r="K10" s="5"/>
      <c r="L10" s="5"/>
      <c r="M10" s="5"/>
      <c r="N10" s="5"/>
      <c r="O10" s="5"/>
      <c r="P10" s="5"/>
      <c r="Q10" s="5"/>
      <c r="R10" s="5"/>
      <c r="S10" s="5"/>
      <c r="T10" s="5"/>
      <c r="U10" s="5"/>
      <c r="V10" s="5"/>
      <c r="W10" s="5"/>
      <c r="X10" s="5"/>
    </row>
    <row r="11" spans="1:24" x14ac:dyDescent="0.25">
      <c r="A11" s="5"/>
      <c r="B11" s="5"/>
      <c r="C11" s="5"/>
      <c r="D11" s="5"/>
      <c r="E11" s="5"/>
      <c r="F11" s="5"/>
      <c r="G11" s="5"/>
      <c r="H11" s="5"/>
      <c r="I11" s="5"/>
      <c r="J11" s="5"/>
      <c r="K11" s="5"/>
      <c r="L11" s="5"/>
      <c r="M11" s="5"/>
      <c r="N11" s="5"/>
      <c r="O11" s="5"/>
      <c r="P11" s="5"/>
      <c r="Q11" s="5"/>
      <c r="R11" s="5"/>
      <c r="S11" s="5"/>
      <c r="T11" s="5"/>
      <c r="U11" s="5"/>
      <c r="V11" s="5"/>
      <c r="W11" s="5"/>
      <c r="X11" s="5"/>
    </row>
    <row r="12" spans="1:24" x14ac:dyDescent="0.25">
      <c r="A12" s="5"/>
      <c r="B12" s="5"/>
      <c r="C12" s="5"/>
      <c r="D12" s="5"/>
      <c r="E12" s="5"/>
      <c r="F12" s="5"/>
      <c r="G12" s="5"/>
      <c r="H12" s="5"/>
      <c r="I12" s="5"/>
      <c r="J12" s="5"/>
      <c r="K12" s="5"/>
      <c r="L12" s="5"/>
      <c r="M12" s="5"/>
      <c r="N12" s="5"/>
      <c r="O12" s="5"/>
      <c r="P12" s="5"/>
      <c r="Q12" s="5"/>
      <c r="R12" s="5"/>
      <c r="S12" s="5"/>
      <c r="T12" s="5"/>
      <c r="U12" s="5"/>
      <c r="V12" s="5"/>
      <c r="W12" s="5"/>
      <c r="X12" s="5"/>
    </row>
    <row r="13" spans="1:24" x14ac:dyDescent="0.25">
      <c r="A13" s="5"/>
      <c r="B13" s="5"/>
      <c r="C13" s="5"/>
      <c r="D13" s="5"/>
      <c r="E13" s="5"/>
      <c r="F13" s="5"/>
      <c r="G13" s="5"/>
      <c r="H13" s="5"/>
      <c r="I13" s="5"/>
      <c r="J13" s="5"/>
      <c r="K13" s="5"/>
      <c r="L13" s="5"/>
      <c r="M13" s="5"/>
      <c r="N13" s="5"/>
      <c r="O13" s="5"/>
      <c r="P13" s="5"/>
      <c r="Q13" s="5"/>
      <c r="R13" s="5"/>
      <c r="S13" s="5"/>
      <c r="T13" s="5"/>
      <c r="U13" s="5"/>
      <c r="V13" s="5"/>
      <c r="W13" s="5"/>
      <c r="X13" s="5"/>
    </row>
    <row r="14" spans="1:24" x14ac:dyDescent="0.25">
      <c r="A14" s="5"/>
      <c r="B14" s="5"/>
      <c r="C14" s="5"/>
      <c r="D14" s="5"/>
      <c r="E14" s="5"/>
      <c r="F14" s="5"/>
      <c r="G14" s="5"/>
      <c r="H14" s="5"/>
      <c r="I14" s="5"/>
      <c r="J14" s="5"/>
      <c r="K14" s="5"/>
      <c r="L14" s="5"/>
      <c r="M14" s="5"/>
      <c r="N14" s="5"/>
      <c r="O14" s="5"/>
      <c r="P14" s="5"/>
      <c r="Q14" s="5"/>
      <c r="R14" s="5"/>
      <c r="S14" s="5"/>
      <c r="T14" s="5"/>
      <c r="U14" s="5"/>
      <c r="V14" s="5"/>
      <c r="W14" s="5"/>
      <c r="X14" s="5"/>
    </row>
    <row r="15" spans="1:24" x14ac:dyDescent="0.25">
      <c r="A15" s="5"/>
      <c r="B15" s="5"/>
      <c r="C15" s="5"/>
      <c r="D15" s="5"/>
      <c r="E15" s="5"/>
      <c r="F15" s="5"/>
      <c r="G15" s="5"/>
      <c r="H15" s="5"/>
      <c r="I15" s="5"/>
      <c r="J15" s="5"/>
      <c r="K15" s="5"/>
      <c r="L15" s="5"/>
      <c r="M15" s="5"/>
      <c r="N15" s="5"/>
      <c r="O15" s="5"/>
      <c r="P15" s="5"/>
      <c r="Q15" s="5"/>
      <c r="R15" s="5"/>
      <c r="S15" s="5"/>
      <c r="T15" s="5"/>
      <c r="U15" s="5"/>
      <c r="V15" s="5"/>
      <c r="W15" s="5"/>
      <c r="X15" s="5"/>
    </row>
    <row r="16" spans="1:24" x14ac:dyDescent="0.25">
      <c r="A16" s="5"/>
      <c r="B16" s="5"/>
      <c r="C16" s="5"/>
      <c r="D16" s="5"/>
      <c r="E16" s="5"/>
      <c r="F16" s="5"/>
      <c r="G16" s="5"/>
      <c r="H16" s="5"/>
      <c r="I16" s="5"/>
      <c r="J16" s="5"/>
      <c r="K16" s="5"/>
      <c r="L16" s="5"/>
      <c r="M16" s="5"/>
      <c r="N16" s="5"/>
      <c r="O16" s="5"/>
      <c r="P16" s="5"/>
      <c r="Q16" s="5"/>
      <c r="R16" s="5"/>
      <c r="S16" s="5"/>
      <c r="T16" s="5"/>
      <c r="U16" s="5"/>
      <c r="V16" s="5"/>
      <c r="W16" s="5"/>
      <c r="X16" s="5"/>
    </row>
    <row r="17" spans="1:24" x14ac:dyDescent="0.25">
      <c r="A17" s="5"/>
      <c r="B17" s="5"/>
      <c r="C17" s="5"/>
      <c r="D17" s="5"/>
      <c r="E17" s="5"/>
      <c r="F17" s="5"/>
      <c r="G17" s="5"/>
      <c r="H17" s="5"/>
      <c r="I17" s="5"/>
      <c r="J17" s="5"/>
      <c r="K17" s="5"/>
      <c r="L17" s="5"/>
      <c r="M17" s="5"/>
      <c r="N17" s="5"/>
      <c r="O17" s="5"/>
      <c r="P17" s="5"/>
      <c r="Q17" s="5"/>
      <c r="R17" s="5"/>
      <c r="S17" s="5"/>
      <c r="T17" s="5"/>
      <c r="U17" s="5"/>
      <c r="V17" s="5"/>
      <c r="W17" s="5"/>
      <c r="X17" s="5"/>
    </row>
    <row r="18" spans="1:24" x14ac:dyDescent="0.25">
      <c r="A18" s="5"/>
      <c r="B18" s="5"/>
      <c r="C18" s="5"/>
      <c r="D18" s="5"/>
      <c r="E18" s="5"/>
      <c r="F18" s="5"/>
      <c r="G18" s="5"/>
      <c r="H18" s="5"/>
      <c r="I18" s="5"/>
      <c r="J18" s="5"/>
      <c r="K18" s="5"/>
      <c r="L18" s="5"/>
      <c r="M18" s="5"/>
      <c r="N18" s="5"/>
      <c r="O18" s="5"/>
      <c r="P18" s="5"/>
      <c r="Q18" s="5"/>
      <c r="R18" s="5"/>
      <c r="S18" s="5"/>
      <c r="T18" s="5"/>
      <c r="U18" s="5"/>
      <c r="V18" s="5"/>
      <c r="W18" s="5"/>
      <c r="X18" s="5"/>
    </row>
    <row r="19" spans="1:24" x14ac:dyDescent="0.25">
      <c r="A19" s="5"/>
      <c r="B19" s="5"/>
      <c r="C19" s="5"/>
      <c r="D19" s="5"/>
      <c r="E19" s="5"/>
      <c r="F19" s="5"/>
      <c r="G19" s="5"/>
      <c r="H19" s="5"/>
      <c r="I19" s="5"/>
      <c r="J19" s="5"/>
      <c r="K19" s="5"/>
      <c r="L19" s="5"/>
      <c r="M19" s="5"/>
      <c r="N19" s="5"/>
      <c r="O19" s="5"/>
      <c r="P19" s="5"/>
      <c r="Q19" s="5"/>
      <c r="R19" s="5"/>
      <c r="S19" s="5"/>
      <c r="T19" s="5"/>
      <c r="U19" s="5"/>
      <c r="V19" s="5"/>
      <c r="W19" s="5"/>
      <c r="X19" s="5"/>
    </row>
    <row r="20" spans="1:24" x14ac:dyDescent="0.25">
      <c r="A20" s="5"/>
      <c r="B20" s="5"/>
      <c r="C20" s="5"/>
      <c r="D20" s="5"/>
      <c r="E20" s="5"/>
      <c r="F20" s="5"/>
      <c r="G20" s="5"/>
      <c r="H20" s="5"/>
      <c r="I20" s="5"/>
      <c r="J20" s="5"/>
      <c r="K20" s="5"/>
      <c r="L20" s="5"/>
      <c r="M20" s="5"/>
      <c r="N20" s="5"/>
      <c r="O20" s="5"/>
      <c r="P20" s="5"/>
      <c r="Q20" s="5"/>
      <c r="R20" s="5"/>
      <c r="S20" s="5"/>
      <c r="T20" s="5"/>
      <c r="U20" s="5"/>
      <c r="V20" s="5"/>
      <c r="W20" s="5"/>
      <c r="X20" s="5"/>
    </row>
    <row r="21" spans="1:24" x14ac:dyDescent="0.25">
      <c r="A21" s="5"/>
      <c r="B21" s="5"/>
      <c r="C21" s="5"/>
      <c r="D21" s="5"/>
      <c r="E21" s="5"/>
      <c r="F21" s="5"/>
      <c r="G21" s="5"/>
      <c r="H21" s="5"/>
      <c r="I21" s="5"/>
      <c r="J21" s="5"/>
      <c r="K21" s="5"/>
      <c r="L21" s="5"/>
      <c r="M21" s="5"/>
      <c r="N21" s="5"/>
      <c r="O21" s="5"/>
      <c r="P21" s="5"/>
      <c r="Q21" s="5"/>
      <c r="R21" s="5"/>
      <c r="S21" s="5"/>
      <c r="T21" s="5"/>
      <c r="U21" s="5"/>
      <c r="V21" s="5"/>
      <c r="W21" s="5"/>
      <c r="X21" s="5"/>
    </row>
    <row r="22" spans="1:24" x14ac:dyDescent="0.25">
      <c r="A22" s="5"/>
      <c r="B22" s="5"/>
      <c r="C22" s="5"/>
      <c r="D22" s="5"/>
      <c r="E22" s="5"/>
      <c r="F22" s="5"/>
      <c r="G22" s="5"/>
      <c r="H22" s="5"/>
      <c r="I22" s="5"/>
      <c r="J22" s="5"/>
      <c r="K22" s="5"/>
      <c r="L22" s="5"/>
      <c r="M22" s="5"/>
      <c r="N22" s="5"/>
      <c r="O22" s="5"/>
      <c r="P22" s="5"/>
      <c r="Q22" s="5"/>
      <c r="R22" s="5"/>
      <c r="S22" s="5"/>
      <c r="T22" s="5"/>
      <c r="U22" s="5"/>
      <c r="V22" s="5"/>
      <c r="W22" s="5"/>
      <c r="X22" s="5"/>
    </row>
    <row r="23" spans="1:24" x14ac:dyDescent="0.25">
      <c r="A23" s="5"/>
      <c r="B23" s="5"/>
      <c r="C23" s="5"/>
      <c r="D23" s="5"/>
      <c r="E23" s="5"/>
      <c r="F23" s="5"/>
      <c r="G23" s="5"/>
      <c r="H23" s="5"/>
      <c r="I23" s="5"/>
      <c r="J23" s="5"/>
      <c r="K23" s="5"/>
      <c r="L23" s="5"/>
      <c r="M23" s="5"/>
      <c r="N23" s="5"/>
      <c r="O23" s="5"/>
      <c r="P23" s="5"/>
      <c r="Q23" s="5"/>
      <c r="R23" s="5"/>
      <c r="S23" s="5"/>
      <c r="T23" s="5"/>
      <c r="U23" s="5"/>
      <c r="V23" s="5"/>
      <c r="W23" s="5"/>
      <c r="X23" s="5"/>
    </row>
    <row r="24" spans="1:24" x14ac:dyDescent="0.25">
      <c r="A24" s="5"/>
      <c r="B24" s="5"/>
      <c r="C24" s="5"/>
      <c r="D24" s="5"/>
      <c r="E24" s="5"/>
      <c r="F24" s="5"/>
      <c r="G24" s="5"/>
      <c r="H24" s="5"/>
      <c r="I24" s="5"/>
      <c r="J24" s="5"/>
      <c r="K24" s="5"/>
      <c r="L24" s="5"/>
      <c r="M24" s="5"/>
      <c r="N24" s="5"/>
      <c r="O24" s="5"/>
      <c r="P24" s="5"/>
      <c r="Q24" s="5"/>
      <c r="R24" s="5"/>
      <c r="S24" s="5"/>
      <c r="T24" s="5"/>
      <c r="U24" s="5"/>
      <c r="V24" s="5"/>
      <c r="W24" s="5"/>
      <c r="X24" s="5"/>
    </row>
    <row r="25" spans="1:24" x14ac:dyDescent="0.25">
      <c r="A25" s="5"/>
      <c r="B25" s="5"/>
      <c r="C25" s="5"/>
      <c r="D25" s="5"/>
      <c r="E25" s="5"/>
      <c r="F25" s="5"/>
      <c r="G25" s="5"/>
      <c r="H25" s="5"/>
      <c r="I25" s="5"/>
      <c r="J25" s="5"/>
      <c r="K25" s="5"/>
      <c r="L25" s="5"/>
      <c r="M25" s="5"/>
      <c r="N25" s="5"/>
      <c r="O25" s="5"/>
      <c r="P25" s="5"/>
      <c r="Q25" s="5"/>
      <c r="R25" s="5"/>
      <c r="S25" s="5"/>
      <c r="T25" s="5"/>
      <c r="U25" s="5"/>
      <c r="V25" s="5"/>
      <c r="W25" s="5"/>
      <c r="X25" s="5"/>
    </row>
    <row r="26" spans="1:24" x14ac:dyDescent="0.25">
      <c r="A26" s="5"/>
      <c r="B26" s="5"/>
      <c r="C26" s="5"/>
      <c r="D26" s="5"/>
      <c r="E26" s="5"/>
      <c r="F26" s="5"/>
      <c r="G26" s="5"/>
      <c r="H26" s="5"/>
      <c r="I26" s="5"/>
      <c r="J26" s="5"/>
      <c r="K26" s="5"/>
      <c r="L26" s="5"/>
      <c r="M26" s="5"/>
      <c r="N26" s="5"/>
      <c r="O26" s="5"/>
      <c r="P26" s="5"/>
      <c r="Q26" s="5"/>
      <c r="R26" s="5"/>
      <c r="S26" s="5"/>
      <c r="T26" s="5"/>
      <c r="U26" s="5"/>
      <c r="V26" s="5"/>
      <c r="W26" s="5"/>
      <c r="X26" s="5"/>
    </row>
    <row r="27" spans="1:24" x14ac:dyDescent="0.25">
      <c r="A27" s="5"/>
      <c r="B27" s="5"/>
      <c r="C27" s="5"/>
      <c r="D27" s="5"/>
      <c r="E27" s="5"/>
      <c r="F27" s="5"/>
      <c r="G27" s="5"/>
      <c r="H27" s="5"/>
      <c r="I27" s="5"/>
      <c r="J27" s="5"/>
      <c r="K27" s="5"/>
      <c r="L27" s="5"/>
      <c r="M27" s="5"/>
      <c r="N27" s="5"/>
      <c r="O27" s="5"/>
      <c r="P27" s="5"/>
      <c r="Q27" s="5"/>
      <c r="R27" s="5"/>
      <c r="S27" s="5"/>
      <c r="T27" s="5"/>
      <c r="U27" s="5"/>
      <c r="V27" s="5"/>
      <c r="W27" s="5"/>
      <c r="X27" s="5"/>
    </row>
    <row r="28" spans="1:24" x14ac:dyDescent="0.25">
      <c r="A28" s="5"/>
      <c r="B28" s="5"/>
      <c r="C28" s="5"/>
      <c r="D28" s="5"/>
      <c r="E28" s="5"/>
      <c r="F28" s="5"/>
      <c r="G28" s="5"/>
      <c r="H28" s="5"/>
      <c r="I28" s="5"/>
      <c r="J28" s="5"/>
      <c r="K28" s="5"/>
      <c r="L28" s="5"/>
      <c r="M28" s="5"/>
      <c r="N28" s="5"/>
      <c r="O28" s="5"/>
      <c r="P28" s="5"/>
      <c r="Q28" s="5"/>
      <c r="R28" s="5"/>
      <c r="S28" s="5"/>
      <c r="T28" s="5"/>
      <c r="U28" s="5"/>
      <c r="V28" s="5"/>
      <c r="W28" s="5"/>
      <c r="X28" s="5"/>
    </row>
    <row r="29" spans="1:24" x14ac:dyDescent="0.25">
      <c r="A29" s="5"/>
      <c r="B29" s="5"/>
      <c r="C29" s="5"/>
      <c r="D29" s="5"/>
      <c r="E29" s="5"/>
      <c r="F29" s="5"/>
      <c r="G29" s="5"/>
      <c r="H29" s="5"/>
      <c r="I29" s="5"/>
      <c r="J29" s="5"/>
      <c r="K29" s="5"/>
      <c r="L29" s="5"/>
      <c r="M29" s="5"/>
      <c r="N29" s="5"/>
      <c r="O29" s="5"/>
      <c r="P29" s="5"/>
      <c r="Q29" s="5"/>
      <c r="R29" s="5"/>
      <c r="S29" s="5"/>
      <c r="T29" s="5"/>
      <c r="U29" s="5"/>
      <c r="V29" s="5"/>
      <c r="W29" s="5"/>
      <c r="X29" s="5"/>
    </row>
    <row r="30" spans="1:24" x14ac:dyDescent="0.25">
      <c r="A30" s="5"/>
      <c r="B30" s="5"/>
      <c r="C30" s="5"/>
      <c r="D30" s="5"/>
      <c r="E30" s="5"/>
      <c r="F30" s="5"/>
      <c r="G30" s="5"/>
      <c r="H30" s="5"/>
      <c r="I30" s="5"/>
      <c r="J30" s="5"/>
      <c r="K30" s="5"/>
      <c r="L30" s="5"/>
      <c r="M30" s="5"/>
      <c r="N30" s="5"/>
      <c r="O30" s="5"/>
      <c r="P30" s="5"/>
      <c r="Q30" s="5"/>
      <c r="R30" s="5"/>
      <c r="S30" s="5"/>
      <c r="T30" s="5"/>
      <c r="U30" s="5"/>
      <c r="V30" s="5"/>
      <c r="W30" s="5"/>
      <c r="X30" s="5"/>
    </row>
    <row r="31" spans="1:24" x14ac:dyDescent="0.25">
      <c r="A31" s="5"/>
      <c r="B31" s="5"/>
      <c r="C31" s="5"/>
      <c r="D31" s="5"/>
      <c r="E31" s="5"/>
      <c r="F31" s="5"/>
      <c r="G31" s="5"/>
      <c r="H31" s="5"/>
      <c r="I31" s="5"/>
      <c r="J31" s="5"/>
      <c r="K31" s="5"/>
      <c r="L31" s="5"/>
      <c r="M31" s="5"/>
      <c r="N31" s="5"/>
      <c r="O31" s="5"/>
      <c r="P31" s="5"/>
      <c r="Q31" s="5"/>
      <c r="R31" s="5"/>
      <c r="S31" s="5"/>
      <c r="T31" s="5"/>
      <c r="U31" s="5"/>
      <c r="V31" s="5"/>
      <c r="W31" s="5"/>
      <c r="X31" s="5"/>
    </row>
    <row r="32" spans="1:24" x14ac:dyDescent="0.25">
      <c r="A32" s="5"/>
      <c r="B32" s="5"/>
      <c r="C32" s="5"/>
      <c r="D32" s="5"/>
      <c r="E32" s="5"/>
      <c r="F32" s="5"/>
      <c r="G32" s="5"/>
      <c r="H32" s="5"/>
      <c r="I32" s="5"/>
      <c r="J32" s="5"/>
      <c r="K32" s="5"/>
      <c r="L32" s="5"/>
      <c r="M32" s="5"/>
      <c r="N32" s="5"/>
      <c r="O32" s="5"/>
      <c r="P32" s="5"/>
      <c r="Q32" s="5"/>
      <c r="R32" s="5"/>
      <c r="S32" s="5"/>
      <c r="T32" s="5"/>
      <c r="U32" s="5"/>
      <c r="V32" s="5"/>
      <c r="W32" s="5"/>
      <c r="X32" s="5"/>
    </row>
    <row r="33" spans="1:24" x14ac:dyDescent="0.25">
      <c r="A33" s="5"/>
      <c r="B33" s="5"/>
      <c r="C33" s="5"/>
      <c r="D33" s="5"/>
      <c r="E33" s="5"/>
      <c r="F33" s="5"/>
      <c r="G33" s="5"/>
      <c r="H33" s="5"/>
      <c r="I33" s="5"/>
      <c r="J33" s="5"/>
      <c r="K33" s="5"/>
      <c r="L33" s="5"/>
      <c r="M33" s="5"/>
      <c r="N33" s="5"/>
      <c r="O33" s="5"/>
      <c r="P33" s="5"/>
      <c r="Q33" s="5"/>
      <c r="R33" s="5"/>
      <c r="S33" s="5"/>
      <c r="T33" s="5"/>
      <c r="U33" s="5"/>
      <c r="V33" s="5"/>
      <c r="W33" s="5"/>
      <c r="X33" s="5"/>
    </row>
    <row r="34" spans="1:24" x14ac:dyDescent="0.25">
      <c r="A34" s="5"/>
      <c r="B34" s="5"/>
      <c r="C34" s="5"/>
      <c r="D34" s="5"/>
      <c r="E34" s="5"/>
      <c r="F34" s="5"/>
      <c r="G34" s="5"/>
      <c r="H34" s="5"/>
      <c r="I34" s="5"/>
      <c r="J34" s="5"/>
      <c r="K34" s="5"/>
      <c r="L34" s="5"/>
      <c r="M34" s="5"/>
      <c r="N34" s="5"/>
      <c r="O34" s="5"/>
      <c r="P34" s="5"/>
      <c r="Q34" s="5"/>
      <c r="R34" s="5"/>
      <c r="S34" s="5"/>
      <c r="T34" s="5"/>
      <c r="U34" s="5"/>
      <c r="V34" s="5"/>
      <c r="W34" s="5"/>
      <c r="X34" s="5"/>
    </row>
    <row r="35" spans="1:24" x14ac:dyDescent="0.25">
      <c r="A35" s="5"/>
      <c r="B35" s="5"/>
      <c r="C35" s="5"/>
      <c r="D35" s="5"/>
      <c r="E35" s="5"/>
      <c r="F35" s="5"/>
      <c r="G35" s="5"/>
      <c r="H35" s="5"/>
      <c r="I35" s="5"/>
      <c r="J35" s="5"/>
      <c r="K35" s="5"/>
      <c r="L35" s="5"/>
      <c r="M35" s="5"/>
      <c r="N35" s="5"/>
      <c r="O35" s="5"/>
      <c r="P35" s="5"/>
      <c r="Q35" s="5"/>
      <c r="R35" s="5"/>
      <c r="S35" s="5"/>
      <c r="T35" s="5"/>
      <c r="U35" s="5"/>
      <c r="V35" s="5"/>
      <c r="W35" s="5"/>
      <c r="X35" s="5"/>
    </row>
    <row r="37" spans="1:24" x14ac:dyDescent="0.25">
      <c r="N37">
        <f>SUM(database!K2:K51)</f>
        <v>157000</v>
      </c>
      <c r="P37">
        <f>COUNT(database!J2:J51)</f>
        <v>50</v>
      </c>
    </row>
    <row r="38" spans="1:24" x14ac:dyDescent="0.25">
      <c r="K38">
        <f>SUM(database!I2:I51)</f>
        <v>907000</v>
      </c>
    </row>
  </sheetData>
  <mergeCells count="2">
    <mergeCell ref="A4:X35"/>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wise sales</vt:lpstr>
      <vt:lpstr>regionwise sales</vt:lpstr>
      <vt:lpstr>category-wise profit</vt:lpstr>
      <vt:lpstr>database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 shorya</dc:creator>
  <cp:lastModifiedBy>lil shorya</cp:lastModifiedBy>
  <dcterms:created xsi:type="dcterms:W3CDTF">2026-05-02T11:28:53Z</dcterms:created>
  <dcterms:modified xsi:type="dcterms:W3CDTF">2026-05-02T14:37:59Z</dcterms:modified>
</cp:coreProperties>
</file>